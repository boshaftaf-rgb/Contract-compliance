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enerlaboratorios-my.sharepoint.com/personal/pgonzalez_wiener-mex_com/Documents/Escritorio/Finanzas/Báktara/"/>
    </mc:Choice>
  </mc:AlternateContent>
  <xr:revisionPtr revIDLastSave="792" documentId="8_{2F5393DF-3122-48ED-913D-19AF517249B9}" xr6:coauthVersionLast="47" xr6:coauthVersionMax="47" xr10:uidLastSave="{4FA30A04-626C-4198-82C0-2A4808EB1729}"/>
  <bookViews>
    <workbookView xWindow="-108" yWindow="-108" windowWidth="23256" windowHeight="12456" activeTab="1" xr2:uid="{AFC51C44-175A-4A83-A4C7-2ECAC34B1506}"/>
  </bookViews>
  <sheets>
    <sheet name="Ventas 2025" sheetId="1" r:id="rId1"/>
    <sheet name="Ventas 2026" sheetId="3" r:id="rId2"/>
    <sheet name="Facturación LM-DIKYSA" sheetId="4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Q4" i="4"/>
  <c r="P40" i="3"/>
  <c r="D40" i="3"/>
  <c r="P19" i="3"/>
  <c r="P21" i="3"/>
  <c r="P27" i="3"/>
  <c r="P28" i="3"/>
  <c r="P29" i="3"/>
  <c r="P30" i="3"/>
  <c r="P31" i="3"/>
  <c r="P32" i="3"/>
  <c r="P35" i="3"/>
  <c r="P38" i="3"/>
  <c r="F6" i="3" l="1"/>
  <c r="F37" i="3"/>
  <c r="F50" i="3"/>
  <c r="F107" i="3"/>
  <c r="G118" i="3"/>
  <c r="H118" i="3"/>
  <c r="I118" i="3"/>
  <c r="J118" i="3"/>
  <c r="K118" i="3"/>
  <c r="L118" i="3"/>
  <c r="M118" i="3"/>
  <c r="N118" i="3"/>
  <c r="O118" i="3"/>
  <c r="D118" i="3"/>
  <c r="E118" i="3"/>
  <c r="F118" i="3"/>
  <c r="P125" i="1" l="1"/>
  <c r="D39" i="3" l="1"/>
  <c r="D37" i="3"/>
  <c r="D36" i="3"/>
  <c r="D34" i="3"/>
  <c r="D33" i="3"/>
  <c r="D32" i="3"/>
  <c r="D31" i="3"/>
  <c r="D26" i="3"/>
  <c r="D25" i="3"/>
  <c r="D24" i="3"/>
  <c r="D22" i="3"/>
  <c r="D20" i="3"/>
  <c r="D18" i="3"/>
  <c r="D14" i="3"/>
  <c r="D12" i="3"/>
  <c r="D7" i="3"/>
  <c r="E130" i="3" l="1"/>
  <c r="F40" i="3"/>
  <c r="G40" i="3"/>
  <c r="H40" i="3"/>
  <c r="I40" i="3"/>
  <c r="J40" i="3"/>
  <c r="K40" i="3"/>
  <c r="L40" i="3"/>
  <c r="M40" i="3"/>
  <c r="N40" i="3"/>
  <c r="O40" i="3"/>
  <c r="P52" i="3"/>
  <c r="P46" i="3"/>
  <c r="E39" i="3"/>
  <c r="P39" i="3" s="1"/>
  <c r="E37" i="3"/>
  <c r="P37" i="3" s="1"/>
  <c r="E36" i="3"/>
  <c r="P36" i="3" s="1"/>
  <c r="E33" i="3"/>
  <c r="P33" i="3" s="1"/>
  <c r="E26" i="3"/>
  <c r="P26" i="3" s="1"/>
  <c r="E25" i="3"/>
  <c r="P25" i="3" s="1"/>
  <c r="E24" i="3"/>
  <c r="P24" i="3" s="1"/>
  <c r="E23" i="3"/>
  <c r="P23" i="3" s="1"/>
  <c r="E22" i="3"/>
  <c r="P22" i="3" s="1"/>
  <c r="E20" i="3"/>
  <c r="P20" i="3" s="1"/>
  <c r="E18" i="3"/>
  <c r="E16" i="3"/>
  <c r="E12" i="3"/>
  <c r="E11" i="3"/>
  <c r="E10" i="3"/>
  <c r="E8" i="3"/>
  <c r="E7" i="3"/>
  <c r="E6" i="3"/>
  <c r="P120" i="3"/>
  <c r="P126" i="3"/>
  <c r="P127" i="3"/>
  <c r="P128" i="3"/>
  <c r="P129" i="3"/>
  <c r="F112" i="3"/>
  <c r="G112" i="3"/>
  <c r="H112" i="3"/>
  <c r="I112" i="3"/>
  <c r="J112" i="3"/>
  <c r="K112" i="3"/>
  <c r="L112" i="3"/>
  <c r="M112" i="3"/>
  <c r="N112" i="3"/>
  <c r="O112" i="3"/>
  <c r="D112" i="3"/>
  <c r="P121" i="3"/>
  <c r="P125" i="3"/>
  <c r="P124" i="3"/>
  <c r="P123" i="3"/>
  <c r="P122" i="3"/>
  <c r="P119" i="3"/>
  <c r="E40" i="3" l="1"/>
  <c r="P118" i="3"/>
  <c r="E112" i="3"/>
  <c r="E34" i="3" l="1"/>
  <c r="P34" i="3" s="1"/>
  <c r="P132" i="3" l="1"/>
  <c r="P131" i="3"/>
  <c r="O130" i="3"/>
  <c r="N130" i="3"/>
  <c r="M130" i="3"/>
  <c r="L130" i="3"/>
  <c r="K130" i="3"/>
  <c r="J130" i="3"/>
  <c r="I130" i="3"/>
  <c r="H130" i="3"/>
  <c r="G130" i="3"/>
  <c r="F130" i="3"/>
  <c r="D130" i="3"/>
  <c r="P117" i="3"/>
  <c r="P116" i="3"/>
  <c r="P115" i="3"/>
  <c r="P114" i="3"/>
  <c r="P113" i="3"/>
  <c r="P111" i="3"/>
  <c r="P110" i="3"/>
  <c r="P109" i="3"/>
  <c r="P108" i="3"/>
  <c r="P107" i="3"/>
  <c r="P106" i="3"/>
  <c r="P105" i="3"/>
  <c r="P104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O88" i="3"/>
  <c r="N88" i="3"/>
  <c r="M88" i="3"/>
  <c r="L88" i="3"/>
  <c r="K88" i="3"/>
  <c r="J88" i="3"/>
  <c r="I88" i="3"/>
  <c r="H88" i="3"/>
  <c r="G88" i="3"/>
  <c r="F88" i="3"/>
  <c r="E88" i="3"/>
  <c r="D88" i="3"/>
  <c r="P87" i="3"/>
  <c r="P86" i="3"/>
  <c r="P85" i="3"/>
  <c r="P84" i="3"/>
  <c r="P83" i="3"/>
  <c r="P82" i="3"/>
  <c r="P81" i="3"/>
  <c r="P80" i="3"/>
  <c r="P79" i="3"/>
  <c r="P78" i="3"/>
  <c r="P77" i="3"/>
  <c r="P76" i="3"/>
  <c r="O75" i="3"/>
  <c r="N75" i="3"/>
  <c r="M75" i="3"/>
  <c r="L75" i="3"/>
  <c r="K75" i="3"/>
  <c r="J75" i="3"/>
  <c r="I75" i="3"/>
  <c r="H75" i="3"/>
  <c r="G75" i="3"/>
  <c r="F75" i="3"/>
  <c r="E75" i="3"/>
  <c r="D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O61" i="3"/>
  <c r="N61" i="3"/>
  <c r="M61" i="3"/>
  <c r="L61" i="3"/>
  <c r="K61" i="3"/>
  <c r="J61" i="3"/>
  <c r="I61" i="3"/>
  <c r="H61" i="3"/>
  <c r="G61" i="3"/>
  <c r="F61" i="3"/>
  <c r="E61" i="3"/>
  <c r="D61" i="3"/>
  <c r="P60" i="3"/>
  <c r="P59" i="3"/>
  <c r="P58" i="3"/>
  <c r="P57" i="3"/>
  <c r="P56" i="3"/>
  <c r="P55" i="3"/>
  <c r="P54" i="3"/>
  <c r="O53" i="3"/>
  <c r="N53" i="3"/>
  <c r="M53" i="3"/>
  <c r="L53" i="3"/>
  <c r="K53" i="3"/>
  <c r="J53" i="3"/>
  <c r="I53" i="3"/>
  <c r="H53" i="3"/>
  <c r="G53" i="3"/>
  <c r="F53" i="3"/>
  <c r="E53" i="3"/>
  <c r="D53" i="3"/>
  <c r="P51" i="3"/>
  <c r="P50" i="3"/>
  <c r="P49" i="3"/>
  <c r="P48" i="3"/>
  <c r="P47" i="3"/>
  <c r="P45" i="3"/>
  <c r="P44" i="3"/>
  <c r="P43" i="3"/>
  <c r="P42" i="3"/>
  <c r="P41" i="3"/>
  <c r="P18" i="3"/>
  <c r="O17" i="3"/>
  <c r="N17" i="3"/>
  <c r="M17" i="3"/>
  <c r="L17" i="3"/>
  <c r="K17" i="3"/>
  <c r="J17" i="3"/>
  <c r="I17" i="3"/>
  <c r="H17" i="3"/>
  <c r="G17" i="3"/>
  <c r="F17" i="3"/>
  <c r="E17" i="3"/>
  <c r="D17" i="3"/>
  <c r="P16" i="3"/>
  <c r="P15" i="3"/>
  <c r="P14" i="3"/>
  <c r="P13" i="3"/>
  <c r="P12" i="3"/>
  <c r="P11" i="3"/>
  <c r="P10" i="3"/>
  <c r="P9" i="3"/>
  <c r="P8" i="3"/>
  <c r="P7" i="3"/>
  <c r="P6" i="3"/>
  <c r="O5" i="3"/>
  <c r="N5" i="3"/>
  <c r="M5" i="3"/>
  <c r="L5" i="3"/>
  <c r="K5" i="3"/>
  <c r="J5" i="3"/>
  <c r="I5" i="3"/>
  <c r="H5" i="3"/>
  <c r="G5" i="3"/>
  <c r="F5" i="3"/>
  <c r="E5" i="3"/>
  <c r="D5" i="3"/>
  <c r="O133" i="3" l="1"/>
  <c r="I133" i="3"/>
  <c r="L133" i="3"/>
  <c r="E133" i="3"/>
  <c r="M133" i="3"/>
  <c r="J133" i="3"/>
  <c r="K133" i="3"/>
  <c r="N133" i="3"/>
  <c r="F133" i="3"/>
  <c r="G133" i="3"/>
  <c r="H133" i="3"/>
  <c r="D133" i="3"/>
  <c r="P103" i="3"/>
  <c r="P53" i="3"/>
  <c r="P130" i="3"/>
  <c r="P61" i="3"/>
  <c r="P75" i="3"/>
  <c r="P17" i="3"/>
  <c r="P5" i="3"/>
  <c r="P112" i="3"/>
  <c r="P88" i="3"/>
  <c r="P133" i="3" l="1"/>
  <c r="P123" i="1" l="1"/>
  <c r="P122" i="1"/>
  <c r="P121" i="1" s="1"/>
  <c r="O121" i="1"/>
  <c r="N121" i="1"/>
  <c r="M121" i="1"/>
  <c r="L121" i="1"/>
  <c r="K121" i="1"/>
  <c r="J121" i="1"/>
  <c r="I121" i="1"/>
  <c r="H121" i="1"/>
  <c r="G121" i="1"/>
  <c r="F121" i="1"/>
  <c r="E121" i="1"/>
  <c r="D121" i="1"/>
  <c r="P120" i="1"/>
  <c r="P119" i="1"/>
  <c r="P118" i="1"/>
  <c r="P117" i="1"/>
  <c r="P116" i="1"/>
  <c r="P115" i="1"/>
  <c r="P114" i="1"/>
  <c r="P113" i="1"/>
  <c r="P112" i="1"/>
  <c r="P111" i="1"/>
  <c r="P110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P108" i="1"/>
  <c r="P107" i="1"/>
  <c r="P106" i="1"/>
  <c r="P105" i="1"/>
  <c r="P104" i="1"/>
  <c r="P103" i="1"/>
  <c r="P102" i="1"/>
  <c r="P101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O85" i="1"/>
  <c r="N85" i="1"/>
  <c r="M85" i="1"/>
  <c r="L85" i="1"/>
  <c r="K85" i="1"/>
  <c r="J85" i="1"/>
  <c r="I85" i="1"/>
  <c r="H85" i="1"/>
  <c r="G85" i="1"/>
  <c r="F85" i="1"/>
  <c r="E85" i="1"/>
  <c r="D85" i="1"/>
  <c r="P84" i="1"/>
  <c r="P83" i="1"/>
  <c r="P82" i="1"/>
  <c r="P81" i="1"/>
  <c r="P80" i="1"/>
  <c r="P79" i="1"/>
  <c r="P78" i="1"/>
  <c r="P77" i="1"/>
  <c r="P76" i="1"/>
  <c r="P75" i="1"/>
  <c r="P74" i="1"/>
  <c r="P73" i="1"/>
  <c r="O72" i="1"/>
  <c r="N72" i="1"/>
  <c r="M72" i="1"/>
  <c r="L72" i="1"/>
  <c r="K72" i="1"/>
  <c r="J72" i="1"/>
  <c r="I72" i="1"/>
  <c r="H72" i="1"/>
  <c r="G72" i="1"/>
  <c r="F72" i="1"/>
  <c r="E72" i="1"/>
  <c r="D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O58" i="1"/>
  <c r="N58" i="1"/>
  <c r="M58" i="1"/>
  <c r="L58" i="1"/>
  <c r="K58" i="1"/>
  <c r="J58" i="1"/>
  <c r="I58" i="1"/>
  <c r="H58" i="1"/>
  <c r="G58" i="1"/>
  <c r="F58" i="1"/>
  <c r="E58" i="1"/>
  <c r="D58" i="1"/>
  <c r="P57" i="1"/>
  <c r="P56" i="1"/>
  <c r="P55" i="1"/>
  <c r="P54" i="1"/>
  <c r="P53" i="1"/>
  <c r="P52" i="1"/>
  <c r="P51" i="1"/>
  <c r="O50" i="1"/>
  <c r="N50" i="1"/>
  <c r="M50" i="1"/>
  <c r="L50" i="1"/>
  <c r="K50" i="1"/>
  <c r="J50" i="1"/>
  <c r="I50" i="1"/>
  <c r="H50" i="1"/>
  <c r="G50" i="1"/>
  <c r="F50" i="1"/>
  <c r="E50" i="1"/>
  <c r="D50" i="1"/>
  <c r="P49" i="1"/>
  <c r="P48" i="1"/>
  <c r="P47" i="1"/>
  <c r="P46" i="1"/>
  <c r="P45" i="1"/>
  <c r="P44" i="1"/>
  <c r="P43" i="1"/>
  <c r="P42" i="1"/>
  <c r="P41" i="1"/>
  <c r="P40" i="1"/>
  <c r="O39" i="1"/>
  <c r="N39" i="1"/>
  <c r="M39" i="1"/>
  <c r="L39" i="1"/>
  <c r="K39" i="1"/>
  <c r="J39" i="1"/>
  <c r="I39" i="1"/>
  <c r="H39" i="1"/>
  <c r="G39" i="1"/>
  <c r="F39" i="1"/>
  <c r="E39" i="1"/>
  <c r="D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O17" i="1"/>
  <c r="N17" i="1"/>
  <c r="M17" i="1"/>
  <c r="L17" i="1"/>
  <c r="K17" i="1"/>
  <c r="J17" i="1"/>
  <c r="I17" i="1"/>
  <c r="H17" i="1"/>
  <c r="G17" i="1"/>
  <c r="F17" i="1"/>
  <c r="E17" i="1"/>
  <c r="D17" i="1"/>
  <c r="P16" i="1"/>
  <c r="P15" i="1"/>
  <c r="P14" i="1"/>
  <c r="P13" i="1"/>
  <c r="P12" i="1"/>
  <c r="P11" i="1"/>
  <c r="P10" i="1"/>
  <c r="P9" i="1"/>
  <c r="P8" i="1"/>
  <c r="P7" i="1"/>
  <c r="P6" i="1"/>
  <c r="O5" i="1"/>
  <c r="N5" i="1"/>
  <c r="M5" i="1"/>
  <c r="L5" i="1"/>
  <c r="K5" i="1"/>
  <c r="J5" i="1"/>
  <c r="I5" i="1"/>
  <c r="H5" i="1"/>
  <c r="G5" i="1"/>
  <c r="F5" i="1"/>
  <c r="E5" i="1"/>
  <c r="D5" i="1"/>
  <c r="E124" i="1" l="1"/>
  <c r="P72" i="1"/>
  <c r="P100" i="1"/>
  <c r="P109" i="1"/>
  <c r="P85" i="1"/>
  <c r="P58" i="1"/>
  <c r="D124" i="1"/>
  <c r="F124" i="1"/>
  <c r="L124" i="1"/>
  <c r="M124" i="1"/>
  <c r="N124" i="1"/>
  <c r="P50" i="1"/>
  <c r="G124" i="1"/>
  <c r="H124" i="1"/>
  <c r="I124" i="1"/>
  <c r="P39" i="1"/>
  <c r="O124" i="1"/>
  <c r="J124" i="1"/>
  <c r="K124" i="1"/>
  <c r="P17" i="1"/>
  <c r="P5" i="1"/>
  <c r="P1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Carolina Gonzalez Ochoa</author>
  </authors>
  <commentList>
    <comment ref="C13" authorId="0" shapeId="0" xr:uid="{FF5FDFA1-3051-4DD9-995B-BE2B90A98D2E}">
      <text>
        <r>
          <rPr>
            <b/>
            <sz val="9"/>
            <color indexed="81"/>
            <rFont val="Tahoma"/>
            <family val="2"/>
          </rPr>
          <t>Patricia Carolina Gonzalez Ochoa:</t>
        </r>
        <r>
          <rPr>
            <sz val="9"/>
            <color indexed="81"/>
            <rFont val="Tahoma"/>
            <family val="2"/>
          </rPr>
          <t xml:space="preserve">
Se solicitará baja del cliente por cambio de razón social</t>
        </r>
      </text>
    </comment>
    <comment ref="C14" authorId="0" shapeId="0" xr:uid="{3A2C2840-A44F-435F-BD2D-BAFC64DCAB6D}">
      <text>
        <r>
          <rPr>
            <b/>
            <sz val="9"/>
            <color indexed="81"/>
            <rFont val="Tahoma"/>
            <family val="2"/>
          </rPr>
          <t>Patricia Carolina Gonzalez Ochoa:</t>
        </r>
        <r>
          <rPr>
            <sz val="9"/>
            <color indexed="81"/>
            <rFont val="Tahoma"/>
            <family val="2"/>
          </rPr>
          <t xml:space="preserve">
Solo se considera la facturación del T1 para enero 2026</t>
        </r>
      </text>
    </comment>
    <comment ref="C21" authorId="0" shapeId="0" xr:uid="{3642826F-8C8F-4B2F-83F2-E892599CFBD2}">
      <text>
        <r>
          <rPr>
            <b/>
            <sz val="9"/>
            <color indexed="81"/>
            <rFont val="Tahoma"/>
            <family val="2"/>
          </rPr>
          <t>Patricia Carolina Gonzalez Ochoa:</t>
        </r>
        <r>
          <rPr>
            <sz val="9"/>
            <color indexed="81"/>
            <rFont val="Tahoma"/>
            <family val="2"/>
          </rPr>
          <t xml:space="preserve">
Se solicitará baja del cliente por disolución de sociedad</t>
        </r>
      </text>
    </comment>
    <comment ref="C30" authorId="0" shapeId="0" xr:uid="{754A1B29-A65D-4A05-8496-92B2E9DA5C8A}">
      <text>
        <r>
          <rPr>
            <b/>
            <sz val="9"/>
            <color indexed="81"/>
            <rFont val="Tahoma"/>
            <family val="2"/>
          </rPr>
          <t>Patricia Carolina Gonzalez Ochoa:</t>
        </r>
        <r>
          <rPr>
            <sz val="9"/>
            <color indexed="81"/>
            <rFont val="Tahoma"/>
            <family val="2"/>
          </rPr>
          <t xml:space="preserve">
Se solicitará baja del cliente</t>
        </r>
      </text>
    </comment>
    <comment ref="C46" authorId="0" shapeId="0" xr:uid="{688DA3C9-DFAB-4C35-9A1C-FF86F1F8FC5D}">
      <text>
        <r>
          <rPr>
            <b/>
            <sz val="9"/>
            <color indexed="81"/>
            <rFont val="Tahoma"/>
            <family val="2"/>
          </rPr>
          <t>Patricia Carolina Gonzalez Ochoa:</t>
        </r>
        <r>
          <rPr>
            <sz val="9"/>
            <color indexed="81"/>
            <rFont val="Tahoma"/>
            <family val="2"/>
          </rPr>
          <t xml:space="preserve">
Solo se considera facturación de febrero 2026 para el T3</t>
        </r>
      </text>
    </comment>
    <comment ref="C49" authorId="0" shapeId="0" xr:uid="{1E7F505E-2B06-48FA-8A12-03483B9D60ED}">
      <text>
        <r>
          <rPr>
            <b/>
            <sz val="9"/>
            <color indexed="81"/>
            <rFont val="Tahoma"/>
            <family val="2"/>
          </rPr>
          <t>Patricia Carolina Gonzalez Ochoa:</t>
        </r>
        <r>
          <rPr>
            <sz val="9"/>
            <color indexed="81"/>
            <rFont val="Tahoma"/>
            <family val="2"/>
          </rPr>
          <t xml:space="preserve">
Se solicitará bloqueo del cliente</t>
        </r>
      </text>
    </comment>
    <comment ref="C121" authorId="0" shapeId="0" xr:uid="{F7A1A687-89AF-4C54-8E7A-9024CB2E8826}">
      <text>
        <r>
          <rPr>
            <b/>
            <sz val="9"/>
            <color indexed="81"/>
            <rFont val="Tahoma"/>
            <family val="2"/>
          </rPr>
          <t>Patricia Carolina Gonzalez Ochoa:</t>
        </r>
        <r>
          <rPr>
            <sz val="9"/>
            <color indexed="81"/>
            <rFont val="Tahoma"/>
            <family val="2"/>
          </rPr>
          <t xml:space="preserve">
Se considera facturación a partir de marzo 2026 para el T10</t>
        </r>
      </text>
    </comment>
  </commentList>
</comments>
</file>

<file path=xl/sharedStrings.xml><?xml version="1.0" encoding="utf-8"?>
<sst xmlns="http://schemas.openxmlformats.org/spreadsheetml/2006/main" count="282" uniqueCount="160">
  <si>
    <t>Representante / Cliente</t>
  </si>
  <si>
    <t>Total general</t>
  </si>
  <si>
    <t>Daniel Espinoza</t>
  </si>
  <si>
    <t>104000017 QUIMICA INDUSTRIAL Y DE SALUD,</t>
  </si>
  <si>
    <t>104000029  ABALAT, S.A. DE C.V.</t>
  </si>
  <si>
    <t xml:space="preserve">104000099  DISTRIBUIDORA BIOGAMA,  </t>
  </si>
  <si>
    <t>104000125  MEDIDORES INDUSTRIALES Y MEDICOS,</t>
  </si>
  <si>
    <t>104000300  INGENIERIA DE SERVICIO PARA EQUIPOS</t>
  </si>
  <si>
    <t>104000323  CALIDAD, SALUD Y DIAGNOSTICO,</t>
  </si>
  <si>
    <t>104000358  LABORATORIO BIOCLIN,</t>
  </si>
  <si>
    <t>104000396  COPRIDE COMERCIALIZADORA DE PRODUCT</t>
  </si>
  <si>
    <t>104000513  EQUIPOS Y REACTIVOS DE LABORATORIO RAGO</t>
  </si>
  <si>
    <t>104000659  DIQUILAV</t>
  </si>
  <si>
    <t>104000664 GROUP VC DIAGNOSTIC</t>
  </si>
  <si>
    <t>Gisselle Avila</t>
  </si>
  <si>
    <t>104000001  FRANCO RINCON GENARO</t>
  </si>
  <si>
    <t>104000039  DIAGNOSTICA CARFEL</t>
  </si>
  <si>
    <t>104000053  DISTRIBUIDORA QUIMICA INTEGRAL,</t>
  </si>
  <si>
    <t>104000078  GRUPO RUVEL, SA DE CV</t>
  </si>
  <si>
    <t>104000090  ATR E INSTRUMENTOS,</t>
  </si>
  <si>
    <t>104000296  ANALITOS PARA LABORATORIO,</t>
  </si>
  <si>
    <t>104000338  COM. DE MAT. Y SERV. P/ LAB.</t>
  </si>
  <si>
    <t>104000477 SERVICIO DE APOYO PARA EL DIAGNOSTICO MEDICO, S.A. DE C.V.</t>
  </si>
  <si>
    <t>104000502  PUBLISALUD, S.A. DE C.V.</t>
  </si>
  <si>
    <t>104000512  SERVICIOS MEDICOS Y LABORATORIOS</t>
  </si>
  <si>
    <t>104000522  RBC QUIMICA</t>
  </si>
  <si>
    <t>104000561  IVD-ABMEDICAL</t>
  </si>
  <si>
    <t>104000567  CENTRAL LG KARGA, SA DE CV</t>
  </si>
  <si>
    <t>104000615 TESTFARMA, SA DE CV</t>
  </si>
  <si>
    <t>104000641 DIAGNÓSTICA METROPOLITANA DMC, SA DE CV</t>
  </si>
  <si>
    <t>104000658 GISD LAB SOLUTIONS</t>
  </si>
  <si>
    <t>104000665 CORPORATIVO EN TECNOLOGIA, INNOVACI</t>
  </si>
  <si>
    <t>104000563 VE +</t>
  </si>
  <si>
    <t>104000584 SOLUCIONES MEDICAS DIGITALES URBA</t>
  </si>
  <si>
    <t>104000649 ANNAR HEALTH TECHNOLOGIES</t>
  </si>
  <si>
    <t>Jashive De La Luz</t>
  </si>
  <si>
    <t>104000015  MEDICA SILLER, S.A. DE C.V.</t>
  </si>
  <si>
    <t xml:space="preserve">104000322  BIO ROBOTICA,SUC AGUAS </t>
  </si>
  <si>
    <t>104000455  QUIMICA MEDICA DIAGNOSTICA INTEGRAL</t>
  </si>
  <si>
    <t>104000480  EDMUNDO GARCIA AGUAYO</t>
  </si>
  <si>
    <t>104000501  YAMILAH MARISOL GUTIERREZ ORNELAS</t>
  </si>
  <si>
    <t>104000514  CYGOMED, SA DE CV</t>
  </si>
  <si>
    <t>104000550  CARLOS JAVIER LANGO ALMAGUER</t>
  </si>
  <si>
    <t>104000618 CORPORATIVO DEQSA</t>
  </si>
  <si>
    <t>104000655 JUAN CARLOS LEMUS HERNÁNDEZ</t>
  </si>
  <si>
    <t xml:space="preserve">104000662 DISTRIBUIDORA DIAGNOSTICA GALMA
</t>
  </si>
  <si>
    <t>Samuel Cuarenta</t>
  </si>
  <si>
    <t>104000130  S.G. DIAGNOSTICA,</t>
  </si>
  <si>
    <t>104000322  BIO ROBOTICA,</t>
  </si>
  <si>
    <t>104000390  SANDRA JUDITH SERRATO ZAVALETA</t>
  </si>
  <si>
    <t>104000427  PEDRO QUETZALCOATL VALLADARES</t>
  </si>
  <si>
    <t>104000487 CANAIMA CONSULTORES, S.A. DE C.V.</t>
  </si>
  <si>
    <t>104000602 INTEGRACIÓN PATOLÓGICA DE OCCIDENTE SA DE CV</t>
  </si>
  <si>
    <t>104000661 LSD DIAGNOSTICO DE ANALISIS</t>
  </si>
  <si>
    <t xml:space="preserve">Alejandro Diaz </t>
  </si>
  <si>
    <t>104000010  VALENCIA DURAN MARIA ESTER</t>
  </si>
  <si>
    <t>104000018  GRUPO ICTZE, S.A. DE C.V.</t>
  </si>
  <si>
    <t>104000031  PROVEEDORA DIAGNOSTICA,</t>
  </si>
  <si>
    <t>104000033  DISTRIBUIDORA QUIMICA TARRI,</t>
  </si>
  <si>
    <t>104000135  DIKYSA,</t>
  </si>
  <si>
    <t>104000320  AVILA TAVIRA Y CIA,</t>
  </si>
  <si>
    <t>104000335  ALONSO NORBERTO BERNAL GUTIERREZ</t>
  </si>
  <si>
    <t>104000367  CORPORACION MEDIGROUP</t>
  </si>
  <si>
    <t>104000377  CENTRO DE DISTRIBUCIONES</t>
  </si>
  <si>
    <t>104000516  LILIANA MENDEZ PALACIOS</t>
  </si>
  <si>
    <t>104000541  MEDQUIMIA</t>
  </si>
  <si>
    <t>104000549  CALIDAD, SALUD Y DIAGNOSTICO, PUEBLA</t>
  </si>
  <si>
    <t>104000660 ELIA DEL CARMEN RUIZ RAMIREZ</t>
  </si>
  <si>
    <t>Luz Leal</t>
  </si>
  <si>
    <t>104000268 GLECO MEDICAL USA</t>
  </si>
  <si>
    <t>104000272  BRANDSD, S. DE R.L. DE C.V.</t>
  </si>
  <si>
    <t>104000284  COMERCIALIZADORA RUVAK</t>
  </si>
  <si>
    <t>104000336  LUIS ENRIQUE GAXIOLA FELIX</t>
  </si>
  <si>
    <t>104000430  BLANCA CAROLINA AGUIRRE ENCINAS</t>
  </si>
  <si>
    <t>104000594 CARSALAB</t>
  </si>
  <si>
    <t>104000617 GABRIELA LIZBETH CRUZ MARTINEZ</t>
  </si>
  <si>
    <t>104000621 ENRIQUE OJEDA OCAMPO</t>
  </si>
  <si>
    <t>104000642 SERLAB DEL PACÍFICO</t>
  </si>
  <si>
    <t>104000644 PROVEEDORA DE LABORATORIOS DEL NOROESTE</t>
  </si>
  <si>
    <t>104000663 CLINIBAC, S DE RL DE CV</t>
  </si>
  <si>
    <t>104000591 SALUD RL</t>
  </si>
  <si>
    <t>Filiberto Illera</t>
  </si>
  <si>
    <t>104000011  ABASTECEDORA CIENTIFICA ROUMER,</t>
  </si>
  <si>
    <t>104000056  ITZAMNA LABORATORIOS DE ANALISIS</t>
  </si>
  <si>
    <t>104000105  INSTRUMENTOS Y EQUIPOS (MER)</t>
  </si>
  <si>
    <t>104000183  DIAGNOSTICOS BIOMETH</t>
  </si>
  <si>
    <t>104000209  QUIMICOS MEXICANOS DEL SURESTE,</t>
  </si>
  <si>
    <t>104000280  COMERCIALIZADORA CIENTIFICA DEL</t>
  </si>
  <si>
    <t>104000302  DISTRIBUIDORA YUCATECA DE QUIMICOS</t>
  </si>
  <si>
    <t>104000395  ROPESA INTEGRAL LABORATORIES</t>
  </si>
  <si>
    <t>104000407  CLEMENTE PEREZ SANCHEZ</t>
  </si>
  <si>
    <t>104000523  QUIMEDIC RB</t>
  </si>
  <si>
    <t>104000547  CCISUR DIAGNOSTICS</t>
  </si>
  <si>
    <t>104000570  KENIA BERENICE LOPEZ ARREVILLAGA</t>
  </si>
  <si>
    <t>104000656 DIMARLAB, S. A.  DE C. V.</t>
  </si>
  <si>
    <t>Luis Daniel Hernández</t>
  </si>
  <si>
    <t>104000087  MARIO JESUS GARZA MEJIA</t>
  </si>
  <si>
    <t>104000247  COMERCIALIZADORA DE REACTIVOS PARA</t>
  </si>
  <si>
    <t>104000265  CAR LAB INDUSTRIAL MEDICAL</t>
  </si>
  <si>
    <t>104000399  DISTRIBUIDORA Y COMERCIALIZADORA</t>
  </si>
  <si>
    <t>104000422  DM LAB,</t>
  </si>
  <si>
    <t>104000491 COMERCIALIZADORA DIAGNOSTICA CHIHUAHUENSE, S.A. DE C.V.</t>
  </si>
  <si>
    <t>104000531  KABLA COMERCIAL</t>
  </si>
  <si>
    <t>104000593 OTONIEL HERNANDEZ GURROLA</t>
  </si>
  <si>
    <t>Alicia Vega</t>
  </si>
  <si>
    <t>104000005  CENTRUM PROMOTORA INTERNACIONAL,</t>
  </si>
  <si>
    <t>104000009 BIODIST</t>
  </si>
  <si>
    <t>104000019  DICIPA, S.A. DE C.V.</t>
  </si>
  <si>
    <t>104000105  INSTRUMENTOS Y EQUIPOS</t>
  </si>
  <si>
    <t>104000136  COMISION NACIONAL DE CULTURA FISICA</t>
  </si>
  <si>
    <t>104000346 GENESIS HEALTHCARE ADVISERS, S.A. DE C.V.</t>
  </si>
  <si>
    <t>104000492  INTERMET</t>
  </si>
  <si>
    <t>104000595 HOSPICLEAN, SA DE CV</t>
  </si>
  <si>
    <t>104000603 AMPHARMA , SA DE CV</t>
  </si>
  <si>
    <t>104000616 TOMAS VELAZQUEZ PEREZ</t>
  </si>
  <si>
    <t>104000631 GRUPO CLINICO DE LA HOZ &amp; CRYSTAL</t>
  </si>
  <si>
    <t>#N/A</t>
  </si>
  <si>
    <t>104000184  IN VITRO DIAGNOSTICS</t>
  </si>
  <si>
    <t>104000467  LABIN DOMINICANA S.R.L.</t>
  </si>
  <si>
    <t>104000648 VICGE ASOCIADOS</t>
  </si>
  <si>
    <t>Ventas 2025 por Territorio</t>
  </si>
  <si>
    <t>Territorio / Región</t>
  </si>
  <si>
    <t>Ventas Intercompany</t>
  </si>
  <si>
    <t>2  "Metro Norte"                                CDMX Norte, Edo. Mex. Norte, Hidalgo</t>
  </si>
  <si>
    <t>3 "Bajío" Querétaro (Base), Guanajuato, San Luis, Zacatecas, Aguascalientes</t>
  </si>
  <si>
    <t>4  "Occidente"                                Jalisco (base), Colima, Michoacán, Nayarit</t>
  </si>
  <si>
    <t>5 "Centro Sur"                                 Puebla (base), Tlaxcala, Veracruz,            Oaxaca</t>
  </si>
  <si>
    <t>6 "Pacífico Norte"                                  Sinaloa (base), Sonora, Las Bajas</t>
  </si>
  <si>
    <t xml:space="preserve">7 "Sureste"                               Tabasco (base), Chiapas, Quintana Roo, Yucatán, Campeche                           </t>
  </si>
  <si>
    <t>8 "Norte"                               Nuevo León (base),  Tamaulipas, Coahuila, Chihuahua, Durango</t>
  </si>
  <si>
    <t>9  "Ventas Gobierno"                                     CDMX (base), Integradores con proyectos en varios estados de la República</t>
  </si>
  <si>
    <t>1  "Metro Sur"                       CDMX Sur, Edo. Mex. Sur, Morelos, Guerrero</t>
  </si>
  <si>
    <t>Ventas 2026 por Territorio</t>
  </si>
  <si>
    <t>Hugo Enrique Tomita Ávalos</t>
  </si>
  <si>
    <t>104000554  BRAVO MEDICAL TRANSLATIONS</t>
  </si>
  <si>
    <t>104000569  SALUD DIGNA</t>
  </si>
  <si>
    <t>104000666 BIOMEDICO SLANEY</t>
  </si>
  <si>
    <t xml:space="preserve">104000668 MARIBEL QUEZADA VÁZQUEZ
</t>
  </si>
  <si>
    <t>4  "Occidente"                                Jalisco (Base), Colima, Michoacán, Nayarit</t>
  </si>
  <si>
    <t>5 "Centro Sur"                                 Puebla (Base), Tlaxcala, Veracruz,            Oaxaca</t>
  </si>
  <si>
    <t>6 "Pacífico Norte"                                  Sinaloa (Base), Sonora, Las Bajas</t>
  </si>
  <si>
    <t xml:space="preserve">7 "Sureste"                               Tabasco (Base), Chiapas, Quintana Roo, Yucatán, Campeche                           </t>
  </si>
  <si>
    <t>8 "Norte"                               Nuevo León (Base),  Tamaulipas, Coahuila, Chihuahua, Durango</t>
  </si>
  <si>
    <t>9  "Ventas Gobierno"                                     CDMX (Base), Integradores con proyectos en varios estados de la República</t>
  </si>
  <si>
    <t>10  "Ventas Gobierno Jr"                                     CDMX (Base), Integradores con proyectos en varios estados de la República</t>
  </si>
  <si>
    <t>Daniel Ernesto Espinoza Cordova</t>
  </si>
  <si>
    <t>Gisselle Avila Ruiz</t>
  </si>
  <si>
    <t>Alejandro Díaz Pérez</t>
  </si>
  <si>
    <t>María de la Luz Leal Portugal</t>
  </si>
  <si>
    <t>Irma Jashive de la Luz Lozano</t>
  </si>
  <si>
    <t>Filiberto Illera Ruiz</t>
  </si>
  <si>
    <t>Luis Daniel Hernández García</t>
  </si>
  <si>
    <t>Alicia Vega Trujillo</t>
  </si>
  <si>
    <t>104000611 LABORATORIOS VELPER</t>
  </si>
  <si>
    <t>104000603 AMPHARMA</t>
  </si>
  <si>
    <t>104000595 HOSPICLEAN</t>
  </si>
  <si>
    <t>104000533  DISTRIBUIDORA COMERCIAL ZOGBI</t>
  </si>
  <si>
    <t>Posición Vacante</t>
  </si>
  <si>
    <t>104000649 ANNAR HEALTH TECHNOLOGIES (30% sobre facturación cliente compartido)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</si>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</sst>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17" fontId="2" fillId="2" borderId="0" xfId="1" applyNumberFormat="1" applyFont="1" applyFill="1" applyAlignment="1">
      <alignment horizontal="center" vertical="center"/>
    </xf>
    <xf numFmtId="44" fontId="2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4" fontId="2" fillId="2" borderId="0" xfId="1" applyFont="1" applyFill="1" applyAlignment="1">
      <alignment vertical="center"/>
    </xf>
    <xf numFmtId="44" fontId="0" fillId="0" borderId="0" xfId="1" applyFont="1"/>
    <xf numFmtId="44" fontId="0" fillId="0" borderId="0" xfId="0" applyNumberFormat="1"/>
    <xf numFmtId="0" fontId="4" fillId="0" borderId="0" xfId="0" applyFont="1" applyAlignment="1">
      <alignment horizontal="center" vertical="center" wrapText="1"/>
    </xf>
    <xf numFmtId="4" fontId="0" fillId="0" borderId="0" xfId="0" applyNumberFormat="1"/>
    <xf numFmtId="17" fontId="2" fillId="2" borderId="1" xfId="1" applyNumberFormat="1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0" fillId="0" borderId="1" xfId="0" applyBorder="1"/>
    <xf numFmtId="44" fontId="0" fillId="0" borderId="1" xfId="1" applyFont="1" applyBorder="1"/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Normal 2" xfId="2" xr:uid="{3E345BF5-7B80-4A7A-8436-CE1F73325D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wienerlaboratorios-my.sharepoint.com/personal/pgonzalez_wiener-mex_com/Documents/Escritorio/Paco%20Local/Reportes/Reportes%202025/Cierre%20de%20Ventas%202025/12.%20Diciembre%202025/Reporte%20de%20Cierre%20de%20Ventas%2012.%20Diciembre%202025%20FNvo.xlsx" TargetMode="External"/><Relationship Id="rId2" Type="http://schemas.microsoft.com/office/2019/04/relationships/externalLinkLongPath" Target="/personal/pgonzalez_wiener-mex_com/Documents/Escritorio/Paco%20Local/Reportes/Reportes%202025/Cierre%20de%20Ventas%202025/12.%20Diciembre%202025/Reporte%20de%20Cierre%20de%20Ventas%2012.%20Diciembre%202025%20FNvo.xlsx?B66E6696" TargetMode="External"/><Relationship Id="rId1" Type="http://schemas.openxmlformats.org/officeDocument/2006/relationships/externalLinkPath" Target="file:///\\B66E6696\Reporte%20de%20Cierre%20de%20Ventas%2012.%20Diciembre%202025%20FNvo.xlsx" TargetMode="External"/><Relationship Id="rId4" Type="http://schemas.openxmlformats.org/officeDocument/2006/relationships/externalLinkPath" Target="../../Paco%20Local/Reportes/Reportes%202025/Cierre%20de%20Ventas%202025/12.%20Diciembre%202025/Reporte%20de%20Cierre%20de%20Ventas%2012.%20Diciembre%202025%20FNv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wienerlaboratorios-my.sharepoint.com/personal/pgonzalez_wiener-mex_com/Documents/Escritorio/Paco%20Local/Reportes/Reportes%202026/Cierre%20de%20Ventas%202026/2.%20Febrero%202026/Reporte%20de%20Cierre%20de%20Ventas%202.%20Febrero%202026%20FNvo.xlsx" TargetMode="External"/><Relationship Id="rId2" Type="http://schemas.microsoft.com/office/2019/04/relationships/externalLinkLongPath" Target="/personal/pgonzalez_wiener-mex_com/Documents/Escritorio/Paco%20Local/Reportes/Reportes%202026/Cierre%20de%20Ventas%202026/2.%20Febrero%202026/Reporte%20de%20Cierre%20de%20Ventas%202.%20Febrero%202026%20FNvo.xlsx?D7B88C4E" TargetMode="External"/><Relationship Id="rId1" Type="http://schemas.openxmlformats.org/officeDocument/2006/relationships/externalLinkPath" Target="file:///\\D7B88C4E\Reporte%20de%20Cierre%20de%20Ventas%202.%20Febrero%202026%20FNvo.xlsx" TargetMode="External"/><Relationship Id="rId4" Type="http://schemas.openxmlformats.org/officeDocument/2006/relationships/externalLinkPath" Target="../../Paco%20Local/Reportes/Reportes%202026/Cierre%20de%20Ventas%202026/2.%20Febrero%202026/Reporte%20de%20Cierre%20de%20Ventas%202.%20Febrero%202026%20FNvo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wienerlaboratorios-my.sharepoint.com/personal/pgonzalez_wiener-mex_com/Documents/Escritorio/Paco%20Local/Reportes/Reportes%202026/Cierre%20de%20Ventas%202026/1.%20Enero%202026/Reporte%20de%20Cierre%20de%20Ventas%201.%20Enero%202026%20Definitivo.xlsx" TargetMode="External"/><Relationship Id="rId2" Type="http://schemas.microsoft.com/office/2019/04/relationships/externalLinkLongPath" Target="/personal/pgonzalez_wiener-mex_com/Documents/Escritorio/Paco%20Local/Reportes/Reportes%202026/Cierre%20de%20Ventas%202026/1.%20Enero%202026/Reporte%20de%20Cierre%20de%20Ventas%201.%20Enero%202026%20Definitivo.xlsx?1BF42666" TargetMode="External"/><Relationship Id="rId1" Type="http://schemas.openxmlformats.org/officeDocument/2006/relationships/externalLinkPath" Target="file:///\\1BF42666\Reporte%20de%20Cierre%20de%20Ventas%201.%20Enero%202026%20Definitivo.xlsx" TargetMode="External"/><Relationship Id="rId4" Type="http://schemas.openxmlformats.org/officeDocument/2006/relationships/externalLinkPath" Target="../../Paco%20Local/Reportes/Reportes%202026/Cierre%20de%20Ventas%202026/1.%20Enero%202026/Reporte%20de%20Cierre%20de%20Ventas%201.%20Enero%202026%20Definit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INSTRUCTIVO PRONOSTICO"/>
      <sheetName val="EMBUDO"/>
      <sheetName val="PRONOSTICO 2020"/>
      <sheetName val="Hoja1"/>
      <sheetName val="(Reactivos)"/>
      <sheetName val="(Equipos)"/>
      <sheetName val="ANALISIS"/>
      <sheetName val="INTEGRAL (TOTAL)"/>
      <sheetName val="RESUMEN"/>
      <sheetName val="LISTADO DE EQUIPOS"/>
      <sheetName val="RVM_EQUIPOS"/>
      <sheetName val="RVM_SAP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7">
          <cell r="R57">
            <v>39751007.439999953</v>
          </cell>
        </row>
      </sheetData>
      <sheetData sheetId="5" refreshError="1"/>
      <sheetData sheetId="6" refreshError="1"/>
      <sheetData sheetId="7" refreshError="1"/>
      <sheetData sheetId="8" refreshError="1">
        <row r="31">
          <cell r="H31">
            <v>206405368.20999974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INSTRUCTIVO PRONOSTICO"/>
      <sheetName val="EMBUDO"/>
      <sheetName val="PRONOSTICO 2020"/>
      <sheetName val="Hoja1"/>
      <sheetName val="(Reactivos)"/>
      <sheetName val="(Equipos)"/>
      <sheetName val="ANALISIS"/>
      <sheetName val="INTEGRAL (TOTAL)"/>
      <sheetName val="RESUMEN"/>
      <sheetName val="LISTADO DE EQUIPOS"/>
      <sheetName val="RVM_EQUIPOS"/>
      <sheetName val="RVM_SAP"/>
    </sheetNames>
    <sheetDataSet>
      <sheetData sheetId="0"/>
      <sheetData sheetId="1"/>
      <sheetData sheetId="2"/>
      <sheetData sheetId="3"/>
      <sheetData sheetId="4">
        <row r="9">
          <cell r="I9">
            <v>12567527.23</v>
          </cell>
        </row>
        <row r="81">
          <cell r="E81">
            <v>42730.8</v>
          </cell>
        </row>
        <row r="82">
          <cell r="E82">
            <v>1510.5999999999899</v>
          </cell>
        </row>
        <row r="83">
          <cell r="E83">
            <v>94573.8</v>
          </cell>
        </row>
        <row r="85">
          <cell r="E85">
            <v>18128.6899999999</v>
          </cell>
        </row>
        <row r="86">
          <cell r="E86">
            <v>15785.4</v>
          </cell>
        </row>
        <row r="87">
          <cell r="E87">
            <v>34319.300000000003</v>
          </cell>
        </row>
        <row r="98">
          <cell r="E98">
            <v>303191.09999999899</v>
          </cell>
        </row>
        <row r="100">
          <cell r="E100">
            <v>58162.82</v>
          </cell>
        </row>
        <row r="102">
          <cell r="E102">
            <v>59003.9</v>
          </cell>
        </row>
        <row r="103">
          <cell r="E103">
            <v>25238.8499999999</v>
          </cell>
        </row>
        <row r="107">
          <cell r="E107">
            <v>207912.799999999</v>
          </cell>
        </row>
        <row r="110">
          <cell r="E110">
            <v>19248</v>
          </cell>
        </row>
        <row r="112">
          <cell r="E112">
            <v>78210.899999999907</v>
          </cell>
        </row>
        <row r="113">
          <cell r="E113">
            <v>46473.01</v>
          </cell>
        </row>
        <row r="120">
          <cell r="E120">
            <v>218118.299999999</v>
          </cell>
        </row>
        <row r="122">
          <cell r="E122">
            <v>57729.449999999903</v>
          </cell>
        </row>
        <row r="124">
          <cell r="E124">
            <v>40181.65</v>
          </cell>
        </row>
        <row r="125">
          <cell r="E125">
            <v>126159.899999999</v>
          </cell>
        </row>
        <row r="127">
          <cell r="E127">
            <v>1517032.6849999931</v>
          </cell>
        </row>
      </sheetData>
      <sheetData sheetId="5">
        <row r="9">
          <cell r="I9">
            <v>0</v>
          </cell>
        </row>
      </sheetData>
      <sheetData sheetId="6"/>
      <sheetData sheetId="7"/>
      <sheetData sheetId="8">
        <row r="32">
          <cell r="H32">
            <v>29737180.909999948</v>
          </cell>
        </row>
      </sheetData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INSTRUCTIVO PRONOSTICO"/>
      <sheetName val="EMBUDO"/>
      <sheetName val="PRONOSTICO 2020"/>
      <sheetName val="Hoja1"/>
      <sheetName val="(Reactivos)"/>
      <sheetName val="(Equipos)"/>
      <sheetName val="ANALISIS"/>
      <sheetName val="INTEGRAL (TOTAL)"/>
      <sheetName val="RESUMEN"/>
      <sheetName val="LISTADO DE EQUIPOS"/>
      <sheetName val="RVM_EQUIPOS"/>
      <sheetName val="RVM_SAP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7">
          <cell r="D77">
            <v>5329.8</v>
          </cell>
        </row>
        <row r="82">
          <cell r="D82">
            <v>22660.299999999901</v>
          </cell>
        </row>
        <row r="88">
          <cell r="D88">
            <v>18554.5999999999</v>
          </cell>
        </row>
        <row r="95">
          <cell r="D95">
            <v>38710.76</v>
          </cell>
        </row>
        <row r="97">
          <cell r="D97">
            <v>112056.5</v>
          </cell>
        </row>
        <row r="99">
          <cell r="D99">
            <v>119072.85</v>
          </cell>
        </row>
        <row r="106">
          <cell r="D106">
            <v>36818.099999999897</v>
          </cell>
        </row>
        <row r="109">
          <cell r="D109">
            <v>30000</v>
          </cell>
        </row>
        <row r="110">
          <cell r="D110">
            <v>47582</v>
          </cell>
        </row>
        <row r="118">
          <cell r="D118">
            <v>15576.4</v>
          </cell>
        </row>
        <row r="119">
          <cell r="D119">
            <v>15516.799999999899</v>
          </cell>
        </row>
        <row r="120">
          <cell r="D120">
            <v>214821.6</v>
          </cell>
        </row>
        <row r="122">
          <cell r="D122">
            <v>69791.8</v>
          </cell>
        </row>
        <row r="124">
          <cell r="D124">
            <v>33300.050000000003</v>
          </cell>
        </row>
        <row r="125">
          <cell r="D125">
            <v>42582.15</v>
          </cell>
        </row>
        <row r="127">
          <cell r="D127">
            <v>608590.74499999941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45A9-89E8-4C08-8BF9-1EF53A541666}">
  <dimension ref="B2:Q126"/>
  <sheetViews>
    <sheetView workbookViewId="0">
      <pane xSplit="3" ySplit="5" topLeftCell="K6" activePane="bottomRight" state="frozen"/>
      <selection activeCell="C103" sqref="C103"/>
      <selection pane="topRight" activeCell="C103" sqref="C103"/>
      <selection pane="bottomLeft" activeCell="C103" sqref="C103"/>
      <selection pane="bottomRight" activeCell="O10" sqref="O10"/>
    </sheetView>
  </sheetViews>
  <sheetFormatPr baseColWidth="10" defaultRowHeight="14.4" x14ac:dyDescent="0.3"/>
  <cols>
    <col min="2" max="2" width="14.33203125" customWidth="1"/>
    <col min="3" max="3" width="64.5546875" bestFit="1" customWidth="1"/>
    <col min="4" max="15" width="15" bestFit="1" customWidth="1"/>
    <col min="16" max="16" width="16.109375" bestFit="1" customWidth="1"/>
    <col min="17" max="17" width="15" bestFit="1" customWidth="1"/>
    <col min="18" max="18" width="14" bestFit="1" customWidth="1"/>
  </cols>
  <sheetData>
    <row r="2" spans="2:17" x14ac:dyDescent="0.3">
      <c r="B2" s="18" t="s">
        <v>120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4" spans="2:17" x14ac:dyDescent="0.3">
      <c r="B4" s="16" t="s">
        <v>121</v>
      </c>
      <c r="C4" s="3" t="s">
        <v>0</v>
      </c>
      <c r="D4" s="4">
        <v>45658</v>
      </c>
      <c r="E4" s="4">
        <v>45689</v>
      </c>
      <c r="F4" s="4">
        <v>45717</v>
      </c>
      <c r="G4" s="4">
        <v>45748</v>
      </c>
      <c r="H4" s="4">
        <v>45778</v>
      </c>
      <c r="I4" s="4">
        <v>45809</v>
      </c>
      <c r="J4" s="4">
        <v>45839</v>
      </c>
      <c r="K4" s="4">
        <v>45870</v>
      </c>
      <c r="L4" s="4">
        <v>45901</v>
      </c>
      <c r="M4" s="4">
        <v>45931</v>
      </c>
      <c r="N4" s="4">
        <v>45962</v>
      </c>
      <c r="O4" s="4">
        <v>45992</v>
      </c>
      <c r="P4" s="5" t="s">
        <v>1</v>
      </c>
    </row>
    <row r="5" spans="2:17" x14ac:dyDescent="0.3">
      <c r="B5" s="16"/>
      <c r="C5" s="6" t="s">
        <v>2</v>
      </c>
      <c r="D5" s="7">
        <f>SUM(D6:D16)</f>
        <v>684177.61999999965</v>
      </c>
      <c r="E5" s="7">
        <f t="shared" ref="E5:P5" si="0">SUM(E6:E16)</f>
        <v>960031.99999999895</v>
      </c>
      <c r="F5" s="7">
        <f t="shared" si="0"/>
        <v>783963.76999999874</v>
      </c>
      <c r="G5" s="7">
        <f t="shared" si="0"/>
        <v>729237.89999999874</v>
      </c>
      <c r="H5" s="7">
        <f t="shared" si="0"/>
        <v>1050437.6599999997</v>
      </c>
      <c r="I5" s="7">
        <f t="shared" si="0"/>
        <v>798120.36999999976</v>
      </c>
      <c r="J5" s="7">
        <f t="shared" si="0"/>
        <v>1110160.4999999998</v>
      </c>
      <c r="K5" s="7">
        <f t="shared" si="0"/>
        <v>805340.04999999993</v>
      </c>
      <c r="L5" s="7">
        <f t="shared" si="0"/>
        <v>856932.2</v>
      </c>
      <c r="M5" s="7">
        <f t="shared" si="0"/>
        <v>895511.63999999978</v>
      </c>
      <c r="N5" s="7">
        <f t="shared" si="0"/>
        <v>713310.60999999987</v>
      </c>
      <c r="O5" s="7">
        <f t="shared" si="0"/>
        <v>939392.50999999885</v>
      </c>
      <c r="P5" s="7">
        <f t="shared" si="0"/>
        <v>10326616.829999994</v>
      </c>
    </row>
    <row r="6" spans="2:17" x14ac:dyDescent="0.3">
      <c r="B6" s="17" t="s">
        <v>131</v>
      </c>
      <c r="C6" s="1" t="s">
        <v>3</v>
      </c>
      <c r="D6" s="2">
        <v>62711.4</v>
      </c>
      <c r="E6" s="2">
        <v>0</v>
      </c>
      <c r="F6" s="2">
        <v>10336.200000000001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f>SUM(D6:O6)</f>
        <v>73047.600000000006</v>
      </c>
      <c r="Q6" s="9"/>
    </row>
    <row r="7" spans="2:17" x14ac:dyDescent="0.3">
      <c r="B7" s="17"/>
      <c r="C7" s="1" t="s">
        <v>4</v>
      </c>
      <c r="D7" s="2">
        <v>0</v>
      </c>
      <c r="E7" s="2">
        <v>4355.3999999999896</v>
      </c>
      <c r="F7" s="2">
        <v>2219.6999999999898</v>
      </c>
      <c r="G7" s="2">
        <v>1451.8</v>
      </c>
      <c r="H7" s="2">
        <v>11698.4</v>
      </c>
      <c r="I7" s="2">
        <v>0</v>
      </c>
      <c r="J7" s="2">
        <v>0</v>
      </c>
      <c r="K7" s="2">
        <v>7595.6999999999898</v>
      </c>
      <c r="L7" s="2">
        <v>2308.5999999999899</v>
      </c>
      <c r="M7" s="2">
        <v>0</v>
      </c>
      <c r="N7" s="2">
        <v>3819.1999999999898</v>
      </c>
      <c r="O7" s="2">
        <v>14385</v>
      </c>
      <c r="P7" s="2">
        <f t="shared" ref="P7:P16" si="1">SUM(D7:O7)</f>
        <v>47833.799999999952</v>
      </c>
      <c r="Q7" s="9"/>
    </row>
    <row r="8" spans="2:17" x14ac:dyDescent="0.3">
      <c r="B8" s="17"/>
      <c r="C8" s="1" t="s">
        <v>5</v>
      </c>
      <c r="D8" s="2">
        <v>41213.699999999903</v>
      </c>
      <c r="E8" s="2">
        <v>168912</v>
      </c>
      <c r="F8" s="2">
        <v>92361.089999999895</v>
      </c>
      <c r="G8" s="2">
        <v>90697.8</v>
      </c>
      <c r="H8" s="2">
        <v>103767</v>
      </c>
      <c r="I8" s="2">
        <v>56304</v>
      </c>
      <c r="J8" s="2">
        <v>107605.2</v>
      </c>
      <c r="K8" s="2">
        <v>122242.2</v>
      </c>
      <c r="L8" s="2">
        <v>59050.8</v>
      </c>
      <c r="M8" s="2">
        <v>93474.6</v>
      </c>
      <c r="N8" s="2">
        <v>106489.27</v>
      </c>
      <c r="O8" s="2">
        <v>40487.120000000003</v>
      </c>
      <c r="P8" s="2">
        <f t="shared" si="1"/>
        <v>1082604.7799999998</v>
      </c>
      <c r="Q8" s="9"/>
    </row>
    <row r="9" spans="2:17" x14ac:dyDescent="0.3">
      <c r="B9" s="17"/>
      <c r="C9" s="1" t="s">
        <v>6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13647</v>
      </c>
      <c r="K9" s="2">
        <v>2023.2</v>
      </c>
      <c r="L9" s="2">
        <v>0</v>
      </c>
      <c r="M9" s="2">
        <v>16647.5999999999</v>
      </c>
      <c r="N9" s="2">
        <v>0</v>
      </c>
      <c r="O9" s="2">
        <v>0</v>
      </c>
      <c r="P9" s="2">
        <f t="shared" si="1"/>
        <v>32317.799999999901</v>
      </c>
      <c r="Q9" s="9"/>
    </row>
    <row r="10" spans="2:17" x14ac:dyDescent="0.3">
      <c r="B10" s="17"/>
      <c r="C10" s="1" t="s">
        <v>7</v>
      </c>
      <c r="D10" s="2">
        <v>113425.59</v>
      </c>
      <c r="E10" s="2">
        <v>125688.649999999</v>
      </c>
      <c r="F10" s="2">
        <v>66043.539999999906</v>
      </c>
      <c r="G10" s="2">
        <v>115126.1</v>
      </c>
      <c r="H10" s="2">
        <v>58681.269999999902</v>
      </c>
      <c r="I10" s="2">
        <v>64790.379999999903</v>
      </c>
      <c r="J10" s="2">
        <v>560260.42000000004</v>
      </c>
      <c r="K10" s="2">
        <v>0</v>
      </c>
      <c r="L10" s="2">
        <v>268671.7</v>
      </c>
      <c r="M10" s="2">
        <v>49067.19</v>
      </c>
      <c r="N10" s="2">
        <v>76186.089999999895</v>
      </c>
      <c r="O10" s="2">
        <v>162503.989999999</v>
      </c>
      <c r="P10" s="2">
        <f t="shared" si="1"/>
        <v>1660444.9199999976</v>
      </c>
      <c r="Q10" s="9"/>
    </row>
    <row r="11" spans="2:17" x14ac:dyDescent="0.3">
      <c r="B11" s="17"/>
      <c r="C11" s="1" t="s">
        <v>8</v>
      </c>
      <c r="D11" s="2">
        <v>47999.699999999903</v>
      </c>
      <c r="E11" s="2">
        <v>17169</v>
      </c>
      <c r="F11" s="2">
        <v>40930.800000000003</v>
      </c>
      <c r="G11" s="2">
        <v>19798.799999999901</v>
      </c>
      <c r="H11" s="2">
        <v>23137.799999999901</v>
      </c>
      <c r="I11" s="2">
        <v>0</v>
      </c>
      <c r="J11" s="2">
        <v>36265.199999999903</v>
      </c>
      <c r="K11" s="2">
        <v>22244.400000000001</v>
      </c>
      <c r="L11" s="2">
        <v>0</v>
      </c>
      <c r="M11" s="2">
        <v>38343.599999999897</v>
      </c>
      <c r="N11" s="2">
        <v>66349.8</v>
      </c>
      <c r="O11" s="2">
        <v>19114.799999999901</v>
      </c>
      <c r="P11" s="2">
        <f t="shared" si="1"/>
        <v>331353.89999999944</v>
      </c>
      <c r="Q11" s="9"/>
    </row>
    <row r="12" spans="2:17" x14ac:dyDescent="0.3">
      <c r="B12" s="17"/>
      <c r="C12" s="1" t="s">
        <v>9</v>
      </c>
      <c r="D12" s="2">
        <v>0</v>
      </c>
      <c r="E12" s="2">
        <v>33600.9</v>
      </c>
      <c r="F12" s="2">
        <v>19595.900000000001</v>
      </c>
      <c r="G12" s="2">
        <v>23694.0999999999</v>
      </c>
      <c r="H12" s="2">
        <v>22877.9</v>
      </c>
      <c r="I12" s="2">
        <v>24630.400000000001</v>
      </c>
      <c r="J12" s="2">
        <v>27416.799999999901</v>
      </c>
      <c r="K12" s="2">
        <v>26664.5</v>
      </c>
      <c r="L12" s="2">
        <v>53642.599999999897</v>
      </c>
      <c r="M12" s="2">
        <v>22109.9</v>
      </c>
      <c r="N12" s="2">
        <v>33696.9</v>
      </c>
      <c r="O12" s="2">
        <v>30629.7</v>
      </c>
      <c r="P12" s="2">
        <f t="shared" si="1"/>
        <v>318559.59999999969</v>
      </c>
      <c r="Q12" s="9"/>
    </row>
    <row r="13" spans="2:17" x14ac:dyDescent="0.3">
      <c r="B13" s="17"/>
      <c r="C13" s="1" t="s">
        <v>10</v>
      </c>
      <c r="D13" s="2">
        <v>400141.13</v>
      </c>
      <c r="E13" s="2">
        <v>537964.9</v>
      </c>
      <c r="F13" s="2">
        <v>534479.94999999902</v>
      </c>
      <c r="G13" s="2">
        <v>444404.09999999899</v>
      </c>
      <c r="H13" s="2">
        <v>545117.16</v>
      </c>
      <c r="I13" s="2">
        <v>609379.25</v>
      </c>
      <c r="J13" s="2">
        <v>147524.1</v>
      </c>
      <c r="K13" s="2">
        <v>0</v>
      </c>
      <c r="L13" s="2">
        <v>-1452</v>
      </c>
      <c r="M13" s="2">
        <v>0</v>
      </c>
      <c r="N13" s="2">
        <v>0</v>
      </c>
      <c r="O13" s="2">
        <v>0</v>
      </c>
      <c r="P13" s="2">
        <f t="shared" si="1"/>
        <v>3217558.589999998</v>
      </c>
      <c r="Q13" s="9"/>
    </row>
    <row r="14" spans="2:17" x14ac:dyDescent="0.3">
      <c r="B14" s="17"/>
      <c r="C14" s="1" t="s">
        <v>11</v>
      </c>
      <c r="D14" s="2">
        <v>18686.0999999999</v>
      </c>
      <c r="E14" s="2">
        <v>72341.149999999907</v>
      </c>
      <c r="F14" s="2">
        <v>17996.59</v>
      </c>
      <c r="G14" s="2">
        <v>34065.199999999903</v>
      </c>
      <c r="H14" s="2">
        <v>31655.8499999999</v>
      </c>
      <c r="I14" s="2">
        <v>43016.339999999902</v>
      </c>
      <c r="J14" s="2">
        <v>61068.58</v>
      </c>
      <c r="K14" s="2">
        <v>67095.649999999907</v>
      </c>
      <c r="L14" s="2">
        <v>96684.3</v>
      </c>
      <c r="M14" s="2">
        <v>33046.25</v>
      </c>
      <c r="N14" s="2">
        <v>7186.6499999999896</v>
      </c>
      <c r="O14" s="2">
        <v>16664.400000000001</v>
      </c>
      <c r="P14" s="2">
        <f t="shared" si="1"/>
        <v>499507.05999999942</v>
      </c>
      <c r="Q14" s="9"/>
    </row>
    <row r="15" spans="2:17" x14ac:dyDescent="0.3">
      <c r="B15" s="17"/>
      <c r="C15" s="1" t="s">
        <v>12</v>
      </c>
      <c r="D15" s="2">
        <v>0</v>
      </c>
      <c r="E15" s="2">
        <v>0</v>
      </c>
      <c r="F15" s="2">
        <v>0</v>
      </c>
      <c r="G15" s="2">
        <v>0</v>
      </c>
      <c r="H15" s="2">
        <v>253502.28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f t="shared" si="1"/>
        <v>253502.28</v>
      </c>
      <c r="Q15" s="9"/>
    </row>
    <row r="16" spans="2:17" x14ac:dyDescent="0.3">
      <c r="B16" s="17"/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156373.20000000001</v>
      </c>
      <c r="K16" s="2">
        <v>557474.4</v>
      </c>
      <c r="L16" s="2">
        <v>378026.2</v>
      </c>
      <c r="M16" s="2">
        <v>642822.5</v>
      </c>
      <c r="N16" s="2">
        <v>419582.7</v>
      </c>
      <c r="O16" s="2">
        <v>655607.5</v>
      </c>
      <c r="P16" s="2">
        <f t="shared" si="1"/>
        <v>2809886.5</v>
      </c>
      <c r="Q16" s="9"/>
    </row>
    <row r="17" spans="2:17" x14ac:dyDescent="0.3">
      <c r="B17" s="6"/>
      <c r="C17" s="6" t="s">
        <v>14</v>
      </c>
      <c r="D17" s="7">
        <f>SUM(D18:D38)</f>
        <v>3028247.1199999987</v>
      </c>
      <c r="E17" s="7">
        <f t="shared" ref="E17:O17" si="2">SUM(E18:E38)</f>
        <v>2067430.3299999984</v>
      </c>
      <c r="F17" s="7">
        <f t="shared" si="2"/>
        <v>2852280.5699999994</v>
      </c>
      <c r="G17" s="7">
        <f t="shared" si="2"/>
        <v>4177754.5199999996</v>
      </c>
      <c r="H17" s="7">
        <f t="shared" si="2"/>
        <v>2424766.0299999989</v>
      </c>
      <c r="I17" s="7">
        <f t="shared" si="2"/>
        <v>3081699.5199999986</v>
      </c>
      <c r="J17" s="7">
        <f t="shared" si="2"/>
        <v>2281905.0089999922</v>
      </c>
      <c r="K17" s="7">
        <f t="shared" si="2"/>
        <v>1480279.1999999983</v>
      </c>
      <c r="L17" s="7">
        <f t="shared" si="2"/>
        <v>2981362.2589999987</v>
      </c>
      <c r="M17" s="7">
        <f t="shared" si="2"/>
        <v>3636536.1909999996</v>
      </c>
      <c r="N17" s="7">
        <f t="shared" si="2"/>
        <v>2695984.8329999996</v>
      </c>
      <c r="O17" s="7">
        <f t="shared" si="2"/>
        <v>1978760.0149999927</v>
      </c>
      <c r="P17" s="7">
        <f>SUM(P18:P38)</f>
        <v>32687005.596999981</v>
      </c>
      <c r="Q17" s="8"/>
    </row>
    <row r="18" spans="2:17" x14ac:dyDescent="0.3">
      <c r="B18" s="17" t="s">
        <v>123</v>
      </c>
      <c r="C18" s="1" t="s">
        <v>15</v>
      </c>
      <c r="D18" s="2">
        <v>64319.4</v>
      </c>
      <c r="E18" s="2">
        <v>30275.22</v>
      </c>
      <c r="F18" s="2">
        <v>39604.36</v>
      </c>
      <c r="G18" s="2">
        <v>48920.459999999897</v>
      </c>
      <c r="H18" s="2">
        <v>50127</v>
      </c>
      <c r="I18" s="2">
        <v>56974.199999999903</v>
      </c>
      <c r="J18" s="2">
        <v>25153.38</v>
      </c>
      <c r="K18" s="2">
        <v>59619.82</v>
      </c>
      <c r="L18" s="2">
        <v>41313.08</v>
      </c>
      <c r="M18" s="2">
        <v>15612.84</v>
      </c>
      <c r="N18" s="2">
        <v>35464</v>
      </c>
      <c r="O18" s="2">
        <v>64643.48</v>
      </c>
      <c r="P18" s="2">
        <f>SUM(D18:O18)</f>
        <v>532027.23999999987</v>
      </c>
      <c r="Q18" s="9"/>
    </row>
    <row r="19" spans="2:17" x14ac:dyDescent="0.3">
      <c r="B19" s="17"/>
      <c r="C19" s="1" t="s">
        <v>16</v>
      </c>
      <c r="D19" s="2">
        <v>0</v>
      </c>
      <c r="E19" s="2">
        <v>15234.799999999899</v>
      </c>
      <c r="F19" s="2">
        <v>0</v>
      </c>
      <c r="G19" s="2">
        <v>22395.799999999901</v>
      </c>
      <c r="H19" s="2">
        <v>0</v>
      </c>
      <c r="I19" s="2">
        <v>23632.400000000001</v>
      </c>
      <c r="J19" s="2">
        <v>0</v>
      </c>
      <c r="K19" s="2">
        <v>0</v>
      </c>
      <c r="L19" s="2">
        <v>0</v>
      </c>
      <c r="M19" s="2">
        <v>15525.299999999899</v>
      </c>
      <c r="N19" s="2">
        <v>0</v>
      </c>
      <c r="O19" s="2">
        <v>0</v>
      </c>
      <c r="P19" s="2">
        <f t="shared" ref="P19:P38" si="3">SUM(D19:O19)</f>
        <v>76788.299999999697</v>
      </c>
      <c r="Q19" s="9"/>
    </row>
    <row r="20" spans="2:17" x14ac:dyDescent="0.3">
      <c r="B20" s="17"/>
      <c r="C20" s="1" t="s">
        <v>17</v>
      </c>
      <c r="D20" s="2">
        <v>88117</v>
      </c>
      <c r="E20" s="2">
        <v>109112</v>
      </c>
      <c r="F20" s="2">
        <v>61746.9</v>
      </c>
      <c r="G20" s="2">
        <v>86405</v>
      </c>
      <c r="H20" s="2">
        <v>73083.399999999907</v>
      </c>
      <c r="I20" s="2">
        <v>118662</v>
      </c>
      <c r="J20" s="2">
        <v>97265</v>
      </c>
      <c r="K20" s="2">
        <v>84489.5</v>
      </c>
      <c r="L20" s="2">
        <v>195687.94</v>
      </c>
      <c r="M20" s="2">
        <v>99033.699999999895</v>
      </c>
      <c r="N20" s="2">
        <v>35745.4</v>
      </c>
      <c r="O20" s="2">
        <v>41357.800000000003</v>
      </c>
      <c r="P20" s="2">
        <f t="shared" si="3"/>
        <v>1090705.6399999999</v>
      </c>
      <c r="Q20" s="9"/>
    </row>
    <row r="21" spans="2:17" x14ac:dyDescent="0.3">
      <c r="B21" s="17"/>
      <c r="C21" s="1" t="s">
        <v>18</v>
      </c>
      <c r="D21" s="2">
        <v>18247.2</v>
      </c>
      <c r="E21" s="2">
        <v>37700</v>
      </c>
      <c r="F21" s="2">
        <v>49581.15</v>
      </c>
      <c r="G21" s="2">
        <v>6900</v>
      </c>
      <c r="H21" s="2">
        <v>31939.200000000001</v>
      </c>
      <c r="I21" s="2">
        <v>42522.9</v>
      </c>
      <c r="J21" s="2">
        <v>6900</v>
      </c>
      <c r="K21" s="2">
        <v>6900</v>
      </c>
      <c r="L21" s="2">
        <v>6900</v>
      </c>
      <c r="M21" s="2">
        <v>19410.0999999999</v>
      </c>
      <c r="N21" s="2">
        <v>6900</v>
      </c>
      <c r="O21" s="2">
        <v>6900</v>
      </c>
      <c r="P21" s="2">
        <f t="shared" si="3"/>
        <v>240800.5499999999</v>
      </c>
      <c r="Q21" s="9"/>
    </row>
    <row r="22" spans="2:17" x14ac:dyDescent="0.3">
      <c r="B22" s="17"/>
      <c r="C22" s="1" t="s">
        <v>19</v>
      </c>
      <c r="D22" s="2">
        <v>18068.7</v>
      </c>
      <c r="E22" s="2">
        <v>34054.5</v>
      </c>
      <c r="F22" s="2">
        <v>112679.95</v>
      </c>
      <c r="G22" s="2">
        <v>105301.3</v>
      </c>
      <c r="H22" s="2">
        <v>0</v>
      </c>
      <c r="I22" s="2">
        <v>19102.8499999999</v>
      </c>
      <c r="J22" s="2">
        <v>0</v>
      </c>
      <c r="K22" s="2">
        <v>0</v>
      </c>
      <c r="L22" s="2">
        <v>0</v>
      </c>
      <c r="M22" s="2">
        <v>13515.77</v>
      </c>
      <c r="N22" s="2">
        <v>10198.049999999899</v>
      </c>
      <c r="O22" s="2">
        <v>6344</v>
      </c>
      <c r="P22" s="2">
        <f t="shared" si="3"/>
        <v>319265.11999999982</v>
      </c>
      <c r="Q22" s="9"/>
    </row>
    <row r="23" spans="2:17" x14ac:dyDescent="0.3">
      <c r="B23" s="17"/>
      <c r="C23" s="1" t="s">
        <v>20</v>
      </c>
      <c r="D23" s="2">
        <v>120021.8</v>
      </c>
      <c r="E23" s="2">
        <v>305166.90000000002</v>
      </c>
      <c r="F23" s="2">
        <v>268206.87</v>
      </c>
      <c r="G23" s="2">
        <v>328267.76</v>
      </c>
      <c r="H23" s="2">
        <v>156956.109999999</v>
      </c>
      <c r="I23" s="2">
        <v>350987.65</v>
      </c>
      <c r="J23" s="2">
        <v>87077.02</v>
      </c>
      <c r="K23" s="2">
        <v>78174.350000000006</v>
      </c>
      <c r="L23" s="2">
        <v>168150.1</v>
      </c>
      <c r="M23" s="2">
        <v>277987.13</v>
      </c>
      <c r="N23" s="2">
        <v>125966.1</v>
      </c>
      <c r="O23" s="2">
        <v>302344.15000000002</v>
      </c>
      <c r="P23" s="2">
        <f t="shared" si="3"/>
        <v>2569305.939999999</v>
      </c>
      <c r="Q23" s="9"/>
    </row>
    <row r="24" spans="2:17" x14ac:dyDescent="0.3">
      <c r="B24" s="17"/>
      <c r="C24" s="1" t="s">
        <v>21</v>
      </c>
      <c r="D24" s="2">
        <v>13762.2</v>
      </c>
      <c r="E24" s="2">
        <v>13696.799999999899</v>
      </c>
      <c r="F24" s="2">
        <v>16124.4</v>
      </c>
      <c r="G24" s="2">
        <v>14370</v>
      </c>
      <c r="H24" s="2">
        <v>326308.26</v>
      </c>
      <c r="I24" s="2">
        <v>65769.600000000006</v>
      </c>
      <c r="J24" s="2">
        <v>444612.799999999</v>
      </c>
      <c r="K24" s="2">
        <v>38169.94</v>
      </c>
      <c r="L24" s="2">
        <v>17166.900000000001</v>
      </c>
      <c r="M24" s="2">
        <v>46290.3</v>
      </c>
      <c r="N24" s="2">
        <v>66811.199999999895</v>
      </c>
      <c r="O24" s="2">
        <v>50531.699999999903</v>
      </c>
      <c r="P24" s="2">
        <f t="shared" si="3"/>
        <v>1113614.0999999987</v>
      </c>
      <c r="Q24" s="9"/>
    </row>
    <row r="25" spans="2:17" x14ac:dyDescent="0.3">
      <c r="B25" s="17"/>
      <c r="C25" s="1" t="s">
        <v>22</v>
      </c>
      <c r="D25" s="2">
        <v>30000</v>
      </c>
      <c r="E25" s="2">
        <v>109058.2</v>
      </c>
      <c r="F25" s="2">
        <v>30000</v>
      </c>
      <c r="G25" s="2">
        <v>96789.199999999895</v>
      </c>
      <c r="H25" s="2">
        <v>30000</v>
      </c>
      <c r="I25" s="2">
        <v>30000</v>
      </c>
      <c r="J25" s="2">
        <v>46146.3</v>
      </c>
      <c r="K25" s="2">
        <v>30000</v>
      </c>
      <c r="L25" s="2">
        <v>62265.9</v>
      </c>
      <c r="M25" s="2">
        <v>47609</v>
      </c>
      <c r="N25" s="2">
        <v>91503.8</v>
      </c>
      <c r="O25" s="2">
        <v>51628</v>
      </c>
      <c r="P25" s="2">
        <f t="shared" si="3"/>
        <v>655000.39999999991</v>
      </c>
      <c r="Q25" s="9"/>
    </row>
    <row r="26" spans="2:17" x14ac:dyDescent="0.3">
      <c r="B26" s="17"/>
      <c r="C26" s="1" t="s">
        <v>23</v>
      </c>
      <c r="D26" s="2">
        <v>73080</v>
      </c>
      <c r="E26" s="2">
        <v>0</v>
      </c>
      <c r="F26" s="2">
        <v>48720</v>
      </c>
      <c r="G26" s="2">
        <v>31451.709999999901</v>
      </c>
      <c r="H26" s="2">
        <v>38976.019999999902</v>
      </c>
      <c r="I26" s="2">
        <v>34104</v>
      </c>
      <c r="J26" s="2">
        <v>24360</v>
      </c>
      <c r="K26" s="2">
        <v>24105.200000000001</v>
      </c>
      <c r="L26" s="2">
        <v>0</v>
      </c>
      <c r="M26" s="2">
        <v>39864.230000000003</v>
      </c>
      <c r="N26" s="2">
        <v>0</v>
      </c>
      <c r="O26" s="2">
        <v>91205.96</v>
      </c>
      <c r="P26" s="2">
        <f t="shared" si="3"/>
        <v>405867.11999999982</v>
      </c>
      <c r="Q26" s="9"/>
    </row>
    <row r="27" spans="2:17" x14ac:dyDescent="0.3">
      <c r="B27" s="17"/>
      <c r="C27" s="1" t="s">
        <v>24</v>
      </c>
      <c r="D27" s="2">
        <v>0</v>
      </c>
      <c r="E27" s="2">
        <v>15243.9</v>
      </c>
      <c r="F27" s="2">
        <v>0</v>
      </c>
      <c r="G27" s="2">
        <v>0</v>
      </c>
      <c r="H27" s="2">
        <v>0</v>
      </c>
      <c r="I27" s="2">
        <v>15243.9</v>
      </c>
      <c r="J27" s="2">
        <v>0</v>
      </c>
      <c r="K27" s="2">
        <v>0</v>
      </c>
      <c r="L27" s="2">
        <v>29188.5999999999</v>
      </c>
      <c r="M27" s="2">
        <v>0</v>
      </c>
      <c r="N27" s="2">
        <v>13404.6</v>
      </c>
      <c r="O27" s="2">
        <v>56347.8</v>
      </c>
      <c r="P27" s="2">
        <f t="shared" si="3"/>
        <v>129428.7999999999</v>
      </c>
      <c r="Q27" s="9"/>
    </row>
    <row r="28" spans="2:17" x14ac:dyDescent="0.3">
      <c r="B28" s="17"/>
      <c r="C28" s="1" t="s">
        <v>25</v>
      </c>
      <c r="D28" s="2">
        <v>16697.0999999999</v>
      </c>
      <c r="E28" s="2">
        <v>4373</v>
      </c>
      <c r="F28" s="2">
        <v>0</v>
      </c>
      <c r="G28" s="2">
        <v>0</v>
      </c>
      <c r="H28" s="2">
        <v>0</v>
      </c>
      <c r="I28" s="2">
        <v>19706.400000000001</v>
      </c>
      <c r="J28" s="2">
        <v>0</v>
      </c>
      <c r="K28" s="2">
        <v>8832</v>
      </c>
      <c r="L28" s="2">
        <v>20496</v>
      </c>
      <c r="M28" s="2">
        <v>20496</v>
      </c>
      <c r="N28" s="2">
        <v>4468.1999999999898</v>
      </c>
      <c r="O28" s="2">
        <v>0</v>
      </c>
      <c r="P28" s="2">
        <f t="shared" si="3"/>
        <v>95068.699999999895</v>
      </c>
      <c r="Q28" s="9"/>
    </row>
    <row r="29" spans="2:17" x14ac:dyDescent="0.3">
      <c r="B29" s="17"/>
      <c r="C29" s="1" t="s">
        <v>26</v>
      </c>
      <c r="D29" s="2">
        <v>0</v>
      </c>
      <c r="E29" s="2">
        <v>0</v>
      </c>
      <c r="F29" s="2">
        <v>-224168.59</v>
      </c>
      <c r="G29" s="2">
        <v>-101153.789999999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f t="shared" si="3"/>
        <v>-325322.37999999902</v>
      </c>
      <c r="Q29" s="9"/>
    </row>
    <row r="30" spans="2:17" x14ac:dyDescent="0.3">
      <c r="B30" s="17"/>
      <c r="C30" s="1" t="s">
        <v>27</v>
      </c>
      <c r="D30" s="2">
        <v>18889.5</v>
      </c>
      <c r="E30" s="2">
        <v>15283.1</v>
      </c>
      <c r="F30" s="2">
        <v>0</v>
      </c>
      <c r="G30" s="2">
        <v>29137.5</v>
      </c>
      <c r="H30" s="2">
        <v>11559.799999999899</v>
      </c>
      <c r="I30" s="2">
        <v>18673.2</v>
      </c>
      <c r="J30" s="2">
        <v>7610.3999999999896</v>
      </c>
      <c r="K30" s="2">
        <v>27113.799999999901</v>
      </c>
      <c r="L30" s="2">
        <v>14003.5</v>
      </c>
      <c r="M30" s="2">
        <v>0</v>
      </c>
      <c r="N30" s="2">
        <v>0</v>
      </c>
      <c r="O30" s="2">
        <v>22700.7</v>
      </c>
      <c r="P30" s="2">
        <f t="shared" si="3"/>
        <v>164971.4999999998</v>
      </c>
      <c r="Q30" s="9"/>
    </row>
    <row r="31" spans="2:17" x14ac:dyDescent="0.3">
      <c r="B31" s="17"/>
      <c r="C31" s="1" t="s">
        <v>28</v>
      </c>
      <c r="D31" s="2">
        <v>0</v>
      </c>
      <c r="E31" s="2">
        <v>39100.099999999897</v>
      </c>
      <c r="F31" s="2">
        <v>15102.1</v>
      </c>
      <c r="G31" s="2">
        <v>603.85</v>
      </c>
      <c r="H31" s="2">
        <v>0</v>
      </c>
      <c r="I31" s="2">
        <v>23335</v>
      </c>
      <c r="J31" s="2">
        <v>0</v>
      </c>
      <c r="K31" s="2">
        <v>40361.5</v>
      </c>
      <c r="L31" s="2">
        <v>0</v>
      </c>
      <c r="M31" s="2">
        <v>0</v>
      </c>
      <c r="N31" s="2">
        <v>0</v>
      </c>
      <c r="O31" s="2">
        <v>0</v>
      </c>
      <c r="P31" s="2">
        <f t="shared" si="3"/>
        <v>118502.5499999999</v>
      </c>
      <c r="Q31" s="9"/>
    </row>
    <row r="32" spans="2:17" x14ac:dyDescent="0.3">
      <c r="B32" s="17"/>
      <c r="C32" s="1" t="s">
        <v>29</v>
      </c>
      <c r="D32" s="2">
        <v>210732.69</v>
      </c>
      <c r="E32" s="2">
        <v>243702.88</v>
      </c>
      <c r="F32" s="2">
        <v>244128.739999999</v>
      </c>
      <c r="G32" s="2">
        <v>371753.609999999</v>
      </c>
      <c r="H32" s="2">
        <v>529149.80000000005</v>
      </c>
      <c r="I32" s="2">
        <v>351150.65999999898</v>
      </c>
      <c r="J32" s="2">
        <v>294193.46000000002</v>
      </c>
      <c r="K32" s="2">
        <v>254366.239999999</v>
      </c>
      <c r="L32" s="2">
        <v>364983.09999999899</v>
      </c>
      <c r="M32" s="2">
        <v>305750.46000000002</v>
      </c>
      <c r="N32" s="2">
        <v>336270</v>
      </c>
      <c r="O32" s="2">
        <v>340935</v>
      </c>
      <c r="P32" s="2">
        <f t="shared" si="3"/>
        <v>3847116.639999995</v>
      </c>
      <c r="Q32" s="9"/>
    </row>
    <row r="33" spans="2:17" x14ac:dyDescent="0.3">
      <c r="B33" s="17"/>
      <c r="C33" s="1" t="s">
        <v>119</v>
      </c>
      <c r="D33" s="2">
        <v>47800.349999999897</v>
      </c>
      <c r="E33" s="2">
        <v>41392.550000000003</v>
      </c>
      <c r="F33" s="2">
        <v>324617.77</v>
      </c>
      <c r="G33" s="2">
        <v>228723.76</v>
      </c>
      <c r="H33" s="2">
        <v>60938.5</v>
      </c>
      <c r="I33" s="2">
        <v>70452.05</v>
      </c>
      <c r="J33" s="2">
        <v>75025.13</v>
      </c>
      <c r="K33" s="2">
        <v>400123.31</v>
      </c>
      <c r="L33" s="2">
        <v>82056</v>
      </c>
      <c r="M33" s="2">
        <v>76089.199999999895</v>
      </c>
      <c r="N33" s="2">
        <v>49349.3</v>
      </c>
      <c r="O33" s="2">
        <v>74604.600000000006</v>
      </c>
      <c r="P33" s="2">
        <f t="shared" si="3"/>
        <v>1531172.52</v>
      </c>
      <c r="Q33" s="9"/>
    </row>
    <row r="34" spans="2:17" x14ac:dyDescent="0.3">
      <c r="B34" s="17"/>
      <c r="C34" s="1" t="s">
        <v>30</v>
      </c>
      <c r="D34" s="2">
        <v>573764.38</v>
      </c>
      <c r="E34" s="2">
        <v>52955.849999999897</v>
      </c>
      <c r="F34" s="2">
        <v>49561.97</v>
      </c>
      <c r="G34" s="2">
        <v>20012.5099999999</v>
      </c>
      <c r="H34" s="2">
        <v>78891.949999999895</v>
      </c>
      <c r="I34" s="2">
        <v>29802.5</v>
      </c>
      <c r="J34" s="2">
        <v>12109.9</v>
      </c>
      <c r="K34" s="2">
        <v>0</v>
      </c>
      <c r="L34" s="2">
        <v>24128.049999999901</v>
      </c>
      <c r="M34" s="2">
        <v>33790.459999999897</v>
      </c>
      <c r="N34" s="2">
        <v>32896.709999999897</v>
      </c>
      <c r="O34" s="2">
        <v>19095.1699999999</v>
      </c>
      <c r="P34" s="2">
        <f t="shared" si="3"/>
        <v>927009.44999999925</v>
      </c>
      <c r="Q34" s="9"/>
    </row>
    <row r="35" spans="2:17" x14ac:dyDescent="0.3">
      <c r="B35" s="17"/>
      <c r="C35" s="1" t="s">
        <v>31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12341.4</v>
      </c>
      <c r="P35" s="2">
        <f t="shared" si="3"/>
        <v>12341.4</v>
      </c>
      <c r="Q35" s="9"/>
    </row>
    <row r="36" spans="2:17" x14ac:dyDescent="0.3">
      <c r="B36" s="17"/>
      <c r="C36" s="1" t="s">
        <v>32</v>
      </c>
      <c r="D36" s="2">
        <v>175260.299999999</v>
      </c>
      <c r="E36" s="2">
        <v>612039.57999999903</v>
      </c>
      <c r="F36" s="2">
        <v>1302346.5</v>
      </c>
      <c r="G36" s="2">
        <v>1981995.95</v>
      </c>
      <c r="H36" s="2">
        <v>59709.349999999897</v>
      </c>
      <c r="I36" s="2">
        <v>51779.5</v>
      </c>
      <c r="J36" s="2">
        <v>38258.449999999903</v>
      </c>
      <c r="K36" s="2">
        <v>0</v>
      </c>
      <c r="L36" s="2">
        <v>108831.7</v>
      </c>
      <c r="M36" s="2">
        <v>0</v>
      </c>
      <c r="N36" s="2">
        <v>56019.25</v>
      </c>
      <c r="O36" s="2">
        <v>19358.5</v>
      </c>
      <c r="P36" s="2">
        <f t="shared" si="3"/>
        <v>4405599.0799999982</v>
      </c>
      <c r="Q36" s="9"/>
    </row>
    <row r="37" spans="2:17" x14ac:dyDescent="0.3">
      <c r="B37" s="17"/>
      <c r="C37" s="1" t="s">
        <v>33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38719.15</v>
      </c>
      <c r="O37" s="2">
        <v>4046.9</v>
      </c>
      <c r="P37" s="2">
        <f t="shared" si="3"/>
        <v>42766.05</v>
      </c>
      <c r="Q37" s="9"/>
    </row>
    <row r="38" spans="2:17" x14ac:dyDescent="0.3">
      <c r="B38" s="17"/>
      <c r="C38" s="1" t="s">
        <v>34</v>
      </c>
      <c r="D38" s="2">
        <v>1559486.5</v>
      </c>
      <c r="E38" s="2">
        <v>389040.95</v>
      </c>
      <c r="F38" s="2">
        <v>514028.45</v>
      </c>
      <c r="G38" s="2">
        <v>905879.9</v>
      </c>
      <c r="H38" s="2">
        <v>977126.64</v>
      </c>
      <c r="I38" s="2">
        <v>1759800.71</v>
      </c>
      <c r="J38" s="2">
        <v>1123193.168999993</v>
      </c>
      <c r="K38" s="2">
        <v>428023.53999999934</v>
      </c>
      <c r="L38" s="2">
        <v>1846191.389</v>
      </c>
      <c r="M38" s="2">
        <v>2625561.7010000004</v>
      </c>
      <c r="N38" s="2">
        <v>1792269.0730000001</v>
      </c>
      <c r="O38" s="2">
        <v>814374.854999993</v>
      </c>
      <c r="P38" s="2">
        <f t="shared" si="3"/>
        <v>14734976.876999987</v>
      </c>
      <c r="Q38" s="9"/>
    </row>
    <row r="39" spans="2:17" x14ac:dyDescent="0.3">
      <c r="B39" s="6"/>
      <c r="C39" s="6" t="s">
        <v>35</v>
      </c>
      <c r="D39" s="7">
        <f t="shared" ref="D39:P39" si="4">SUM(D40:D49)</f>
        <v>285817.28999999992</v>
      </c>
      <c r="E39" s="7">
        <f t="shared" si="4"/>
        <v>407604.10999999975</v>
      </c>
      <c r="F39" s="7">
        <f t="shared" si="4"/>
        <v>325470.17000000004</v>
      </c>
      <c r="G39" s="7">
        <f t="shared" si="4"/>
        <v>180499.03</v>
      </c>
      <c r="H39" s="7">
        <f t="shared" si="4"/>
        <v>369934.83999999968</v>
      </c>
      <c r="I39" s="7">
        <f t="shared" si="4"/>
        <v>585836.10999999871</v>
      </c>
      <c r="J39" s="7">
        <f t="shared" si="4"/>
        <v>510483.87999999884</v>
      </c>
      <c r="K39" s="7">
        <f t="shared" si="4"/>
        <v>312579.31999999972</v>
      </c>
      <c r="L39" s="7">
        <f t="shared" si="4"/>
        <v>349126.62000000005</v>
      </c>
      <c r="M39" s="7">
        <f t="shared" si="4"/>
        <v>678608.23999999953</v>
      </c>
      <c r="N39" s="7">
        <f t="shared" si="4"/>
        <v>294386.28999999975</v>
      </c>
      <c r="O39" s="7">
        <f t="shared" si="4"/>
        <v>481312.28999999899</v>
      </c>
      <c r="P39" s="7">
        <f t="shared" si="4"/>
        <v>4781658.1899999958</v>
      </c>
    </row>
    <row r="40" spans="2:17" x14ac:dyDescent="0.3">
      <c r="B40" s="17" t="s">
        <v>124</v>
      </c>
      <c r="C40" s="1" t="s">
        <v>36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106502.5</v>
      </c>
      <c r="M40" s="2">
        <v>19568</v>
      </c>
      <c r="N40" s="2">
        <v>0</v>
      </c>
      <c r="O40" s="2">
        <v>7053.8</v>
      </c>
      <c r="P40" s="2">
        <f t="shared" ref="P40:P49" si="5">SUM(D40:O40)</f>
        <v>133124.29999999999</v>
      </c>
      <c r="Q40" s="9"/>
    </row>
    <row r="41" spans="2:17" x14ac:dyDescent="0.3">
      <c r="B41" s="17"/>
      <c r="C41" s="1" t="s">
        <v>37</v>
      </c>
      <c r="D41" s="2">
        <v>92361.21</v>
      </c>
      <c r="E41" s="2">
        <v>45042.45</v>
      </c>
      <c r="F41" s="2">
        <v>42567.26</v>
      </c>
      <c r="G41" s="2">
        <v>31064.97</v>
      </c>
      <c r="H41" s="2">
        <v>32803.81</v>
      </c>
      <c r="I41" s="2">
        <v>53280.25</v>
      </c>
      <c r="J41" s="2">
        <v>61216.799999999988</v>
      </c>
      <c r="K41" s="2">
        <v>43932.9</v>
      </c>
      <c r="L41" s="2">
        <v>57890.91</v>
      </c>
      <c r="M41" s="2">
        <v>51558.5</v>
      </c>
      <c r="N41" s="2">
        <v>20983.79</v>
      </c>
      <c r="O41" s="2">
        <v>0</v>
      </c>
      <c r="P41" s="2">
        <f t="shared" si="5"/>
        <v>532702.85000000009</v>
      </c>
      <c r="Q41" s="9"/>
    </row>
    <row r="42" spans="2:17" x14ac:dyDescent="0.3">
      <c r="B42" s="17"/>
      <c r="C42" s="1" t="s">
        <v>38</v>
      </c>
      <c r="D42" s="2">
        <v>33956.779999999897</v>
      </c>
      <c r="E42" s="2">
        <v>47287.44</v>
      </c>
      <c r="F42" s="2">
        <v>63517.760000000002</v>
      </c>
      <c r="G42" s="2">
        <v>33284.080000000002</v>
      </c>
      <c r="H42" s="2">
        <v>67460.089999999895</v>
      </c>
      <c r="I42" s="2">
        <v>30772.459999999901</v>
      </c>
      <c r="J42" s="2">
        <v>57414.279999999897</v>
      </c>
      <c r="K42" s="2">
        <v>52372.019999999902</v>
      </c>
      <c r="L42" s="2">
        <v>26117.5</v>
      </c>
      <c r="M42" s="2">
        <v>51445.739999999903</v>
      </c>
      <c r="N42" s="2">
        <v>51826.419999999896</v>
      </c>
      <c r="O42" s="2">
        <v>31212.04</v>
      </c>
      <c r="P42" s="2">
        <f t="shared" si="5"/>
        <v>546666.6099999994</v>
      </c>
      <c r="Q42" s="9"/>
    </row>
    <row r="43" spans="2:17" x14ac:dyDescent="0.3">
      <c r="B43" s="17"/>
      <c r="C43" s="1" t="s">
        <v>39</v>
      </c>
      <c r="D43" s="2">
        <v>69437.100000000006</v>
      </c>
      <c r="E43" s="2">
        <v>118568.95</v>
      </c>
      <c r="F43" s="2">
        <v>164557.6</v>
      </c>
      <c r="G43" s="2">
        <v>4901.3999999999896</v>
      </c>
      <c r="H43" s="2">
        <v>75068.539999999906</v>
      </c>
      <c r="I43" s="2">
        <v>47150.949999999903</v>
      </c>
      <c r="J43" s="2">
        <v>160744.549999999</v>
      </c>
      <c r="K43" s="2">
        <v>58165.8</v>
      </c>
      <c r="L43" s="2">
        <v>40827.910000000003</v>
      </c>
      <c r="M43" s="2">
        <v>32970.599999999897</v>
      </c>
      <c r="N43" s="2">
        <v>74043.279999999897</v>
      </c>
      <c r="O43" s="2">
        <v>137657</v>
      </c>
      <c r="P43" s="2">
        <f t="shared" si="5"/>
        <v>984093.67999999865</v>
      </c>
      <c r="Q43" s="9"/>
    </row>
    <row r="44" spans="2:17" x14ac:dyDescent="0.3">
      <c r="B44" s="17"/>
      <c r="C44" s="1" t="s">
        <v>40</v>
      </c>
      <c r="D44" s="2">
        <v>0</v>
      </c>
      <c r="E44" s="2">
        <v>23678.799999999901</v>
      </c>
      <c r="F44" s="2">
        <v>0</v>
      </c>
      <c r="G44" s="2">
        <v>49451.4</v>
      </c>
      <c r="H44" s="2">
        <v>30826.400000000001</v>
      </c>
      <c r="I44" s="2">
        <v>32824.699999999903</v>
      </c>
      <c r="J44" s="2">
        <v>28830</v>
      </c>
      <c r="K44" s="2">
        <v>20949.400000000001</v>
      </c>
      <c r="L44" s="2">
        <v>19859.2</v>
      </c>
      <c r="M44" s="2">
        <v>63560.699999999903</v>
      </c>
      <c r="N44" s="2">
        <v>13300.1</v>
      </c>
      <c r="O44" s="2">
        <v>19852.2</v>
      </c>
      <c r="P44" s="2">
        <f t="shared" si="5"/>
        <v>303132.89999999967</v>
      </c>
      <c r="Q44" s="9"/>
    </row>
    <row r="45" spans="2:17" x14ac:dyDescent="0.3">
      <c r="B45" s="17"/>
      <c r="C45" s="1" t="s">
        <v>41</v>
      </c>
      <c r="D45" s="2">
        <v>54944</v>
      </c>
      <c r="E45" s="2">
        <v>14239.5</v>
      </c>
      <c r="F45" s="2">
        <v>36461.15</v>
      </c>
      <c r="G45" s="2">
        <v>16653.060000000001</v>
      </c>
      <c r="H45" s="2">
        <v>33213.300000000003</v>
      </c>
      <c r="I45" s="2">
        <v>36473.25</v>
      </c>
      <c r="J45" s="2">
        <v>64566.8</v>
      </c>
      <c r="K45" s="2">
        <v>26128.8499999999</v>
      </c>
      <c r="L45" s="2">
        <v>58407.25</v>
      </c>
      <c r="M45" s="2">
        <v>19836.299999999901</v>
      </c>
      <c r="N45" s="2">
        <v>16328.4</v>
      </c>
      <c r="O45" s="2">
        <v>120102.149999999</v>
      </c>
      <c r="P45" s="2">
        <f t="shared" si="5"/>
        <v>497354.00999999885</v>
      </c>
      <c r="Q45" s="9"/>
    </row>
    <row r="46" spans="2:17" x14ac:dyDescent="0.3">
      <c r="B46" s="17"/>
      <c r="C46" s="1" t="s">
        <v>42</v>
      </c>
      <c r="D46" s="2">
        <v>12311</v>
      </c>
      <c r="E46" s="2">
        <v>111264.05</v>
      </c>
      <c r="F46" s="2">
        <v>18366.400000000001</v>
      </c>
      <c r="G46" s="2">
        <v>8356.7199999999903</v>
      </c>
      <c r="H46" s="2">
        <v>94065.899999999907</v>
      </c>
      <c r="I46" s="2">
        <v>0</v>
      </c>
      <c r="J46" s="2">
        <v>57107.699999999903</v>
      </c>
      <c r="K46" s="2">
        <v>79394</v>
      </c>
      <c r="L46" s="2">
        <v>22623.9</v>
      </c>
      <c r="M46" s="2">
        <v>13827.45</v>
      </c>
      <c r="N46" s="2">
        <v>11094.2</v>
      </c>
      <c r="O46" s="2">
        <v>21375.25</v>
      </c>
      <c r="P46" s="2">
        <f t="shared" si="5"/>
        <v>449786.56999999989</v>
      </c>
      <c r="Q46" s="9"/>
    </row>
    <row r="47" spans="2:17" x14ac:dyDescent="0.3">
      <c r="B47" s="17"/>
      <c r="C47" s="1" t="s">
        <v>43</v>
      </c>
      <c r="D47" s="2">
        <v>0</v>
      </c>
      <c r="E47" s="2">
        <v>0</v>
      </c>
      <c r="F47" s="2">
        <v>0</v>
      </c>
      <c r="G47" s="2">
        <v>0</v>
      </c>
      <c r="H47" s="2">
        <v>36496.800000000003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f t="shared" si="5"/>
        <v>36496.800000000003</v>
      </c>
      <c r="Q47" s="9"/>
    </row>
    <row r="48" spans="2:17" x14ac:dyDescent="0.3">
      <c r="B48" s="17"/>
      <c r="C48" s="1" t="s">
        <v>44</v>
      </c>
      <c r="D48" s="2">
        <v>22807.200000000001</v>
      </c>
      <c r="E48" s="2">
        <v>47522.919999999896</v>
      </c>
      <c r="F48" s="2">
        <v>0</v>
      </c>
      <c r="G48" s="2">
        <v>36787.4</v>
      </c>
      <c r="H48" s="2">
        <v>0</v>
      </c>
      <c r="I48" s="2">
        <v>370666.09999999899</v>
      </c>
      <c r="J48" s="2">
        <v>70035.350000000006</v>
      </c>
      <c r="K48" s="2">
        <v>11142.75</v>
      </c>
      <c r="L48" s="2">
        <v>4051.4499999999898</v>
      </c>
      <c r="M48" s="2">
        <v>420628.75</v>
      </c>
      <c r="N48" s="2">
        <v>98651.899999999907</v>
      </c>
      <c r="O48" s="2">
        <v>138636.45000000001</v>
      </c>
      <c r="P48" s="2">
        <f t="shared" si="5"/>
        <v>1220930.2699999989</v>
      </c>
      <c r="Q48" s="9"/>
    </row>
    <row r="49" spans="2:17" x14ac:dyDescent="0.3">
      <c r="B49" s="17"/>
      <c r="C49" s="1" t="s">
        <v>45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14668.4</v>
      </c>
      <c r="J49" s="2">
        <v>10568.4</v>
      </c>
      <c r="K49" s="2">
        <v>20493.5999999999</v>
      </c>
      <c r="L49" s="2">
        <v>12846</v>
      </c>
      <c r="M49" s="2">
        <v>5212.1999999999898</v>
      </c>
      <c r="N49" s="2">
        <v>8158.1999999999898</v>
      </c>
      <c r="O49" s="2">
        <v>5423.3999999999896</v>
      </c>
      <c r="P49" s="2">
        <f t="shared" si="5"/>
        <v>77370.199999999866</v>
      </c>
      <c r="Q49" s="9"/>
    </row>
    <row r="50" spans="2:17" x14ac:dyDescent="0.3">
      <c r="B50" s="6"/>
      <c r="C50" s="6" t="s">
        <v>46</v>
      </c>
      <c r="D50" s="7">
        <f t="shared" ref="D50:P50" si="6">SUM(D51:D57)</f>
        <v>1419534.6799999988</v>
      </c>
      <c r="E50" s="7">
        <f t="shared" si="6"/>
        <v>2343855.5599999996</v>
      </c>
      <c r="F50" s="7">
        <f t="shared" si="6"/>
        <v>1447631.4999999979</v>
      </c>
      <c r="G50" s="7">
        <f t="shared" si="6"/>
        <v>1635754.149999999</v>
      </c>
      <c r="H50" s="7">
        <f t="shared" si="6"/>
        <v>2207216.4400000004</v>
      </c>
      <c r="I50" s="7">
        <f t="shared" si="6"/>
        <v>2194987.7999999877</v>
      </c>
      <c r="J50" s="7">
        <f t="shared" si="6"/>
        <v>2368284.069999998</v>
      </c>
      <c r="K50" s="7">
        <f t="shared" si="6"/>
        <v>1825275.559999997</v>
      </c>
      <c r="L50" s="7">
        <f t="shared" si="6"/>
        <v>1650266.099999998</v>
      </c>
      <c r="M50" s="7">
        <f t="shared" si="6"/>
        <v>2075006.6699999969</v>
      </c>
      <c r="N50" s="7">
        <f t="shared" si="6"/>
        <v>1601880.16</v>
      </c>
      <c r="O50" s="7">
        <f t="shared" si="6"/>
        <v>1793494.7799999998</v>
      </c>
      <c r="P50" s="7">
        <f t="shared" si="6"/>
        <v>22563187.469999973</v>
      </c>
    </row>
    <row r="51" spans="2:17" x14ac:dyDescent="0.3">
      <c r="B51" s="17" t="s">
        <v>125</v>
      </c>
      <c r="C51" s="1" t="s">
        <v>47</v>
      </c>
      <c r="D51" s="2">
        <v>481257.45</v>
      </c>
      <c r="E51" s="2">
        <v>510409.83</v>
      </c>
      <c r="F51" s="2">
        <v>526032.13</v>
      </c>
      <c r="G51" s="2">
        <v>816088.16</v>
      </c>
      <c r="H51" s="2">
        <v>1141544.1000000001</v>
      </c>
      <c r="I51" s="2">
        <v>1307262.6499999899</v>
      </c>
      <c r="J51" s="2">
        <v>947255.4</v>
      </c>
      <c r="K51" s="2">
        <v>777117.10999999905</v>
      </c>
      <c r="L51" s="2">
        <v>646486.17000000004</v>
      </c>
      <c r="M51" s="2">
        <v>445139.53999999899</v>
      </c>
      <c r="N51" s="2">
        <v>788538.67</v>
      </c>
      <c r="O51" s="2">
        <v>766606.9</v>
      </c>
      <c r="P51" s="2">
        <f t="shared" ref="P51:P57" si="7">SUM(D51:O51)</f>
        <v>9153738.1099999882</v>
      </c>
      <c r="Q51" s="9"/>
    </row>
    <row r="52" spans="2:17" x14ac:dyDescent="0.3">
      <c r="B52" s="17"/>
      <c r="C52" s="1" t="s">
        <v>48</v>
      </c>
      <c r="D52" s="2">
        <v>279357.03999999998</v>
      </c>
      <c r="E52" s="2">
        <v>729332.48</v>
      </c>
      <c r="F52" s="2">
        <v>202109.639999999</v>
      </c>
      <c r="G52" s="2">
        <v>360746.45999999903</v>
      </c>
      <c r="H52" s="2">
        <v>260951.69</v>
      </c>
      <c r="I52" s="2">
        <v>354972.299999999</v>
      </c>
      <c r="J52" s="2">
        <v>502389.1899999989</v>
      </c>
      <c r="K52" s="2">
        <v>208012.679999999</v>
      </c>
      <c r="L52" s="2">
        <v>219196.00999999899</v>
      </c>
      <c r="M52" s="2">
        <v>639302.09999999905</v>
      </c>
      <c r="N52" s="2">
        <v>267927.08</v>
      </c>
      <c r="O52" s="2">
        <v>354911.2</v>
      </c>
      <c r="P52" s="2">
        <f t="shared" si="7"/>
        <v>4379207.8699999927</v>
      </c>
      <c r="Q52" s="9"/>
    </row>
    <row r="53" spans="2:17" x14ac:dyDescent="0.3">
      <c r="B53" s="17"/>
      <c r="C53" s="1" t="s">
        <v>49</v>
      </c>
      <c r="D53" s="2">
        <v>587358.69999999902</v>
      </c>
      <c r="E53" s="2">
        <v>1071334.82</v>
      </c>
      <c r="F53" s="2">
        <v>695207.31999999902</v>
      </c>
      <c r="G53" s="2">
        <v>402464.96</v>
      </c>
      <c r="H53" s="2">
        <v>739547.37</v>
      </c>
      <c r="I53" s="2">
        <v>505078.799999999</v>
      </c>
      <c r="J53" s="2">
        <v>893892.57999999903</v>
      </c>
      <c r="K53" s="2">
        <v>743768.85999999905</v>
      </c>
      <c r="L53" s="2">
        <v>720701.60999999905</v>
      </c>
      <c r="M53" s="2">
        <v>958327.72999999905</v>
      </c>
      <c r="N53" s="2">
        <v>497578.51</v>
      </c>
      <c r="O53" s="2">
        <v>610834.03</v>
      </c>
      <c r="P53" s="2">
        <f t="shared" si="7"/>
        <v>8426095.2899999935</v>
      </c>
      <c r="Q53" s="9"/>
    </row>
    <row r="54" spans="2:17" x14ac:dyDescent="0.3">
      <c r="B54" s="17"/>
      <c r="C54" s="1" t="s">
        <v>50</v>
      </c>
      <c r="D54" s="2">
        <v>27309.369999999901</v>
      </c>
      <c r="E54" s="2">
        <v>14861.049999999899</v>
      </c>
      <c r="F54" s="2">
        <v>0</v>
      </c>
      <c r="G54" s="2">
        <v>13252.9</v>
      </c>
      <c r="H54" s="2">
        <v>0</v>
      </c>
      <c r="I54" s="2">
        <v>6312.1499999999896</v>
      </c>
      <c r="J54" s="2">
        <v>16837.5999999999</v>
      </c>
      <c r="K54" s="2">
        <v>23958.04</v>
      </c>
      <c r="L54" s="2">
        <v>23316.299999999901</v>
      </c>
      <c r="M54" s="2">
        <v>0</v>
      </c>
      <c r="N54" s="2">
        <v>18606.7</v>
      </c>
      <c r="O54" s="2">
        <v>18100.5999999999</v>
      </c>
      <c r="P54" s="2">
        <f t="shared" si="7"/>
        <v>162554.7099999995</v>
      </c>
      <c r="Q54" s="9"/>
    </row>
    <row r="55" spans="2:17" x14ac:dyDescent="0.3">
      <c r="B55" s="17"/>
      <c r="C55" s="1" t="s">
        <v>51</v>
      </c>
      <c r="D55" s="2">
        <v>24637.07</v>
      </c>
      <c r="E55" s="2">
        <v>17917.38</v>
      </c>
      <c r="F55" s="2">
        <v>12566.16</v>
      </c>
      <c r="G55" s="2">
        <v>19905.02</v>
      </c>
      <c r="H55" s="2">
        <v>22160.18</v>
      </c>
      <c r="I55" s="2">
        <v>21361.9</v>
      </c>
      <c r="J55" s="2">
        <v>7909.3</v>
      </c>
      <c r="K55" s="2">
        <v>45875.32</v>
      </c>
      <c r="L55" s="2">
        <v>17200.2</v>
      </c>
      <c r="M55" s="2">
        <v>32237.299999999901</v>
      </c>
      <c r="N55" s="2">
        <v>29229.200000000001</v>
      </c>
      <c r="O55" s="2">
        <v>27860</v>
      </c>
      <c r="P55" s="2">
        <f t="shared" si="7"/>
        <v>278859.02999999991</v>
      </c>
      <c r="Q55" s="9"/>
    </row>
    <row r="56" spans="2:17" x14ac:dyDescent="0.3">
      <c r="B56" s="17"/>
      <c r="C56" s="1" t="s">
        <v>52</v>
      </c>
      <c r="D56" s="2">
        <v>19615.049999999901</v>
      </c>
      <c r="E56" s="2">
        <v>0</v>
      </c>
      <c r="F56" s="2">
        <v>11716.25</v>
      </c>
      <c r="G56" s="2">
        <v>23296.65</v>
      </c>
      <c r="H56" s="2">
        <v>0</v>
      </c>
      <c r="I56" s="2">
        <v>0</v>
      </c>
      <c r="J56" s="2">
        <v>0</v>
      </c>
      <c r="K56" s="2">
        <v>18285.150000000001</v>
      </c>
      <c r="L56" s="2">
        <v>6431.75</v>
      </c>
      <c r="M56" s="2">
        <v>0</v>
      </c>
      <c r="N56" s="2">
        <v>0</v>
      </c>
      <c r="O56" s="2">
        <v>15182.049999999899</v>
      </c>
      <c r="P56" s="2">
        <f t="shared" si="7"/>
        <v>94526.899999999805</v>
      </c>
      <c r="Q56" s="9"/>
    </row>
    <row r="57" spans="2:17" x14ac:dyDescent="0.3">
      <c r="B57" s="17"/>
      <c r="C57" s="1" t="s">
        <v>53</v>
      </c>
      <c r="D57" s="2">
        <v>0</v>
      </c>
      <c r="E57" s="2">
        <v>0</v>
      </c>
      <c r="F57" s="2">
        <v>0</v>
      </c>
      <c r="G57" s="2">
        <v>0</v>
      </c>
      <c r="H57" s="2">
        <v>43013.099999999897</v>
      </c>
      <c r="I57" s="2">
        <v>0</v>
      </c>
      <c r="J57" s="2">
        <v>0</v>
      </c>
      <c r="K57" s="2">
        <v>8258.3999999999905</v>
      </c>
      <c r="L57" s="2">
        <v>16934.060000000001</v>
      </c>
      <c r="M57" s="2">
        <v>0</v>
      </c>
      <c r="N57" s="2">
        <v>0</v>
      </c>
      <c r="O57" s="2">
        <v>0</v>
      </c>
      <c r="P57" s="2">
        <f t="shared" si="7"/>
        <v>68205.559999999881</v>
      </c>
      <c r="Q57" s="9"/>
    </row>
    <row r="58" spans="2:17" x14ac:dyDescent="0.3">
      <c r="B58" s="6"/>
      <c r="C58" s="6" t="s">
        <v>54</v>
      </c>
      <c r="D58" s="7">
        <f t="shared" ref="D58:P58" si="8">SUM(D59:D71)</f>
        <v>811064.729999998</v>
      </c>
      <c r="E58" s="7">
        <f t="shared" si="8"/>
        <v>1679330.259999997</v>
      </c>
      <c r="F58" s="7">
        <f t="shared" si="8"/>
        <v>855106.87999999989</v>
      </c>
      <c r="G58" s="7">
        <f t="shared" si="8"/>
        <v>526276.37</v>
      </c>
      <c r="H58" s="7">
        <f t="shared" si="8"/>
        <v>1120279.5899999989</v>
      </c>
      <c r="I58" s="7">
        <f t="shared" si="8"/>
        <v>862555.97999999986</v>
      </c>
      <c r="J58" s="7">
        <f t="shared" si="8"/>
        <v>1271839.5999999992</v>
      </c>
      <c r="K58" s="7">
        <f t="shared" si="8"/>
        <v>917322.55999999971</v>
      </c>
      <c r="L58" s="7">
        <f t="shared" si="8"/>
        <v>1061266.629999999</v>
      </c>
      <c r="M58" s="7">
        <f t="shared" si="8"/>
        <v>946415.44999999867</v>
      </c>
      <c r="N58" s="7">
        <f t="shared" si="8"/>
        <v>1561986.0699999977</v>
      </c>
      <c r="O58" s="7">
        <f t="shared" si="8"/>
        <v>832550.56</v>
      </c>
      <c r="P58" s="7">
        <f t="shared" si="8"/>
        <v>12445994.679999989</v>
      </c>
      <c r="Q58" s="8"/>
    </row>
    <row r="59" spans="2:17" x14ac:dyDescent="0.3">
      <c r="B59" s="17" t="s">
        <v>126</v>
      </c>
      <c r="C59" s="1" t="s">
        <v>55</v>
      </c>
      <c r="D59" s="2">
        <v>14344.2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16980.95</v>
      </c>
      <c r="K59" s="2">
        <v>0</v>
      </c>
      <c r="L59" s="2">
        <v>0</v>
      </c>
      <c r="M59" s="2">
        <v>15796.299999999899</v>
      </c>
      <c r="N59" s="2">
        <v>13650</v>
      </c>
      <c r="O59" s="2">
        <v>0</v>
      </c>
      <c r="P59" s="2">
        <f t="shared" ref="P59:P71" si="9">SUM(D59:O59)</f>
        <v>60771.449999999903</v>
      </c>
      <c r="Q59" s="9"/>
    </row>
    <row r="60" spans="2:17" x14ac:dyDescent="0.3">
      <c r="B60" s="17"/>
      <c r="C60" s="1" t="s">
        <v>56</v>
      </c>
      <c r="D60" s="2">
        <v>14199.2</v>
      </c>
      <c r="E60" s="2">
        <v>51347.8</v>
      </c>
      <c r="F60" s="2">
        <v>18298.799999999901</v>
      </c>
      <c r="G60" s="2">
        <v>0</v>
      </c>
      <c r="H60" s="2">
        <v>30498</v>
      </c>
      <c r="I60" s="2">
        <v>35944.349999999897</v>
      </c>
      <c r="J60" s="2">
        <v>0</v>
      </c>
      <c r="K60" s="2">
        <v>54260.699999999903</v>
      </c>
      <c r="L60" s="2">
        <v>4143.6999999999898</v>
      </c>
      <c r="M60" s="2">
        <v>4568.1499999999896</v>
      </c>
      <c r="N60" s="2">
        <v>0</v>
      </c>
      <c r="O60" s="2">
        <v>0</v>
      </c>
      <c r="P60" s="2">
        <f t="shared" si="9"/>
        <v>213260.69999999966</v>
      </c>
      <c r="Q60" s="9"/>
    </row>
    <row r="61" spans="2:17" x14ac:dyDescent="0.3">
      <c r="B61" s="17"/>
      <c r="C61" s="1" t="s">
        <v>57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3237</v>
      </c>
      <c r="M61" s="2">
        <v>13855.5</v>
      </c>
      <c r="N61" s="2">
        <v>0</v>
      </c>
      <c r="O61" s="2">
        <v>0</v>
      </c>
      <c r="P61" s="2">
        <f t="shared" si="9"/>
        <v>17092.5</v>
      </c>
      <c r="Q61" s="9"/>
    </row>
    <row r="62" spans="2:17" x14ac:dyDescent="0.3">
      <c r="B62" s="17"/>
      <c r="C62" s="1" t="s">
        <v>58</v>
      </c>
      <c r="D62" s="2">
        <v>2637</v>
      </c>
      <c r="E62" s="2">
        <v>139884.359999999</v>
      </c>
      <c r="F62" s="2">
        <v>37606.080000000002</v>
      </c>
      <c r="G62" s="2">
        <v>19775.080000000002</v>
      </c>
      <c r="H62" s="2">
        <v>0</v>
      </c>
      <c r="I62" s="2">
        <v>29711.7</v>
      </c>
      <c r="J62" s="2">
        <v>81728.399999999907</v>
      </c>
      <c r="K62" s="2">
        <v>29550.299999999901</v>
      </c>
      <c r="L62" s="2">
        <v>1155</v>
      </c>
      <c r="M62" s="2">
        <v>121426.74</v>
      </c>
      <c r="N62" s="2">
        <v>49035.269999999902</v>
      </c>
      <c r="O62" s="2">
        <v>0</v>
      </c>
      <c r="P62" s="2">
        <f t="shared" si="9"/>
        <v>512509.92999999877</v>
      </c>
      <c r="Q62" s="9"/>
    </row>
    <row r="63" spans="2:17" x14ac:dyDescent="0.3">
      <c r="B63" s="17"/>
      <c r="C63" s="1" t="s">
        <v>59</v>
      </c>
      <c r="D63" s="2">
        <v>292111.09999999899</v>
      </c>
      <c r="E63" s="2">
        <v>505491.299999999</v>
      </c>
      <c r="F63" s="2">
        <v>99906.919999999896</v>
      </c>
      <c r="G63" s="2">
        <v>92550.1</v>
      </c>
      <c r="H63" s="2">
        <v>313792.109999999</v>
      </c>
      <c r="I63" s="2">
        <v>73804.11</v>
      </c>
      <c r="J63" s="2">
        <v>414233.2</v>
      </c>
      <c r="K63" s="2">
        <v>271449.12</v>
      </c>
      <c r="L63" s="2">
        <v>447559.7</v>
      </c>
      <c r="M63" s="2">
        <v>140457.579999999</v>
      </c>
      <c r="N63" s="2">
        <v>195300.31</v>
      </c>
      <c r="O63" s="2">
        <v>105681.60000000001</v>
      </c>
      <c r="P63" s="2">
        <f t="shared" si="9"/>
        <v>2952337.1499999966</v>
      </c>
      <c r="Q63" s="9"/>
    </row>
    <row r="64" spans="2:17" x14ac:dyDescent="0.3">
      <c r="B64" s="17"/>
      <c r="C64" s="1" t="s">
        <v>60</v>
      </c>
      <c r="D64" s="2">
        <v>0</v>
      </c>
      <c r="E64" s="2">
        <v>83544.94</v>
      </c>
      <c r="F64" s="2">
        <v>32531.4</v>
      </c>
      <c r="G64" s="2">
        <v>9202.0499999999902</v>
      </c>
      <c r="H64" s="2">
        <v>4790.63</v>
      </c>
      <c r="I64" s="2">
        <v>0</v>
      </c>
      <c r="J64" s="2">
        <v>28837.25</v>
      </c>
      <c r="K64" s="2">
        <v>0</v>
      </c>
      <c r="L64" s="2">
        <v>22367.549999999901</v>
      </c>
      <c r="M64" s="2">
        <v>15836.6</v>
      </c>
      <c r="N64" s="2">
        <v>0</v>
      </c>
      <c r="O64" s="2">
        <v>20112.95</v>
      </c>
      <c r="P64" s="2">
        <f t="shared" si="9"/>
        <v>217223.36999999991</v>
      </c>
      <c r="Q64" s="9"/>
    </row>
    <row r="65" spans="2:17" x14ac:dyDescent="0.3">
      <c r="B65" s="17"/>
      <c r="C65" s="1" t="s">
        <v>61</v>
      </c>
      <c r="D65" s="2">
        <v>110352.25</v>
      </c>
      <c r="E65" s="2">
        <v>87890.5</v>
      </c>
      <c r="F65" s="2">
        <v>0</v>
      </c>
      <c r="G65" s="2">
        <v>76801.8</v>
      </c>
      <c r="H65" s="2">
        <v>111366.72</v>
      </c>
      <c r="I65" s="2">
        <v>35301.599999999897</v>
      </c>
      <c r="J65" s="2">
        <v>126343.8</v>
      </c>
      <c r="K65" s="2">
        <v>93225.600000000006</v>
      </c>
      <c r="L65" s="2">
        <v>81857.699999999895</v>
      </c>
      <c r="M65" s="2">
        <v>42008.699999999903</v>
      </c>
      <c r="N65" s="2">
        <v>419440.799999999</v>
      </c>
      <c r="O65" s="2">
        <v>118993.2</v>
      </c>
      <c r="P65" s="2">
        <f t="shared" si="9"/>
        <v>1303582.6699999988</v>
      </c>
      <c r="Q65" s="9"/>
    </row>
    <row r="66" spans="2:17" x14ac:dyDescent="0.3">
      <c r="B66" s="17"/>
      <c r="C66" s="1" t="s">
        <v>62</v>
      </c>
      <c r="D66" s="2">
        <v>0</v>
      </c>
      <c r="E66" s="2">
        <v>0</v>
      </c>
      <c r="F66" s="2">
        <v>9038</v>
      </c>
      <c r="G66" s="2">
        <v>0</v>
      </c>
      <c r="H66" s="2">
        <v>0</v>
      </c>
      <c r="I66" s="2">
        <v>32908.5</v>
      </c>
      <c r="J66" s="2">
        <v>0</v>
      </c>
      <c r="K66" s="2">
        <v>72340.5</v>
      </c>
      <c r="L66" s="2">
        <v>13686.5</v>
      </c>
      <c r="M66" s="2">
        <v>0</v>
      </c>
      <c r="N66" s="2">
        <v>0</v>
      </c>
      <c r="O66" s="2">
        <v>0</v>
      </c>
      <c r="P66" s="2">
        <f t="shared" si="9"/>
        <v>127973.5</v>
      </c>
      <c r="Q66" s="9"/>
    </row>
    <row r="67" spans="2:17" x14ac:dyDescent="0.3">
      <c r="B67" s="17"/>
      <c r="C67" s="1" t="s">
        <v>63</v>
      </c>
      <c r="D67" s="2">
        <v>82474.38</v>
      </c>
      <c r="E67" s="2">
        <v>27294.5</v>
      </c>
      <c r="F67" s="2">
        <v>35981</v>
      </c>
      <c r="G67" s="2">
        <v>12097.02</v>
      </c>
      <c r="H67" s="2">
        <v>36638.099999999897</v>
      </c>
      <c r="I67" s="2">
        <v>34691.550000000003</v>
      </c>
      <c r="J67" s="2">
        <v>45219.9</v>
      </c>
      <c r="K67" s="2">
        <v>57979.449999999903</v>
      </c>
      <c r="L67" s="2">
        <v>0</v>
      </c>
      <c r="M67" s="2">
        <v>34155.599999999897</v>
      </c>
      <c r="N67" s="2">
        <v>24665.25</v>
      </c>
      <c r="O67" s="2">
        <v>0</v>
      </c>
      <c r="P67" s="2">
        <f t="shared" si="9"/>
        <v>391196.74999999971</v>
      </c>
      <c r="Q67" s="9"/>
    </row>
    <row r="68" spans="2:17" x14ac:dyDescent="0.3">
      <c r="B68" s="17"/>
      <c r="C68" s="1" t="s">
        <v>64</v>
      </c>
      <c r="D68" s="2">
        <v>294946.59999999899</v>
      </c>
      <c r="E68" s="2">
        <v>783876.85999999905</v>
      </c>
      <c r="F68" s="2">
        <v>586082.18000000005</v>
      </c>
      <c r="G68" s="2">
        <v>315850.32</v>
      </c>
      <c r="H68" s="2">
        <v>606732.93000000005</v>
      </c>
      <c r="I68" s="2">
        <v>620194.17000000004</v>
      </c>
      <c r="J68" s="2">
        <v>541001.59999999905</v>
      </c>
      <c r="K68" s="2">
        <v>338516.89</v>
      </c>
      <c r="L68" s="2">
        <v>471000.97999999899</v>
      </c>
      <c r="M68" s="2">
        <v>429921.5</v>
      </c>
      <c r="N68" s="2">
        <v>806707.08999999904</v>
      </c>
      <c r="O68" s="2">
        <v>559905.41</v>
      </c>
      <c r="P68" s="2">
        <f t="shared" si="9"/>
        <v>6354736.5299999956</v>
      </c>
      <c r="Q68" s="9"/>
    </row>
    <row r="69" spans="2:17" x14ac:dyDescent="0.3">
      <c r="B69" s="17"/>
      <c r="C69" s="1" t="s">
        <v>65</v>
      </c>
      <c r="D69" s="2">
        <v>0</v>
      </c>
      <c r="E69" s="2">
        <v>0</v>
      </c>
      <c r="F69" s="2">
        <v>35662.5</v>
      </c>
      <c r="G69" s="2">
        <v>0</v>
      </c>
      <c r="H69" s="2">
        <v>0</v>
      </c>
      <c r="I69" s="2">
        <v>0</v>
      </c>
      <c r="J69" s="2">
        <v>17494.5</v>
      </c>
      <c r="K69" s="2">
        <v>0</v>
      </c>
      <c r="L69" s="2">
        <v>16258.5</v>
      </c>
      <c r="M69" s="2">
        <v>12903.75</v>
      </c>
      <c r="N69" s="2">
        <v>2108.25</v>
      </c>
      <c r="O69" s="2">
        <v>0</v>
      </c>
      <c r="P69" s="2">
        <f t="shared" si="9"/>
        <v>84427.5</v>
      </c>
      <c r="Q69" s="9"/>
    </row>
    <row r="70" spans="2:17" x14ac:dyDescent="0.3">
      <c r="B70" s="17"/>
      <c r="C70" s="1" t="s">
        <v>66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115485.03</v>
      </c>
      <c r="N70" s="2">
        <v>0</v>
      </c>
      <c r="O70" s="2">
        <v>0</v>
      </c>
      <c r="P70" s="2">
        <f t="shared" si="9"/>
        <v>115485.03</v>
      </c>
      <c r="Q70" s="9"/>
    </row>
    <row r="71" spans="2:17" x14ac:dyDescent="0.3">
      <c r="B71" s="17"/>
      <c r="C71" s="1" t="s">
        <v>67</v>
      </c>
      <c r="D71" s="2">
        <v>0</v>
      </c>
      <c r="E71" s="2">
        <v>0</v>
      </c>
      <c r="F71" s="2">
        <v>0</v>
      </c>
      <c r="G71" s="2">
        <v>0</v>
      </c>
      <c r="H71" s="2">
        <v>16461.0999999999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51079.099999999897</v>
      </c>
      <c r="O71" s="2">
        <v>27857.4</v>
      </c>
      <c r="P71" s="2">
        <f t="shared" si="9"/>
        <v>95397.599999999802</v>
      </c>
      <c r="Q71" s="9"/>
    </row>
    <row r="72" spans="2:17" x14ac:dyDescent="0.3">
      <c r="B72" s="6"/>
      <c r="C72" s="6" t="s">
        <v>68</v>
      </c>
      <c r="D72" s="7">
        <f t="shared" ref="D72:P72" si="10">SUM(D73:D84)</f>
        <v>1947600.5599999896</v>
      </c>
      <c r="E72" s="7">
        <f t="shared" si="10"/>
        <v>1983916.8599999996</v>
      </c>
      <c r="F72" s="7">
        <f t="shared" si="10"/>
        <v>466620.33999999979</v>
      </c>
      <c r="G72" s="7">
        <f t="shared" si="10"/>
        <v>1215293.8699999989</v>
      </c>
      <c r="H72" s="7">
        <f t="shared" si="10"/>
        <v>935786.70999999892</v>
      </c>
      <c r="I72" s="7">
        <f t="shared" si="10"/>
        <v>1019242.9599999981</v>
      </c>
      <c r="J72" s="7">
        <f t="shared" si="10"/>
        <v>2014505.5099999988</v>
      </c>
      <c r="K72" s="7">
        <f t="shared" si="10"/>
        <v>1170474.169999999</v>
      </c>
      <c r="L72" s="7">
        <f t="shared" si="10"/>
        <v>1392169.929999999</v>
      </c>
      <c r="M72" s="7">
        <f t="shared" si="10"/>
        <v>1744775.3299999889</v>
      </c>
      <c r="N72" s="7">
        <f t="shared" si="10"/>
        <v>1280082.6199999989</v>
      </c>
      <c r="O72" s="7">
        <f t="shared" si="10"/>
        <v>2096631.15</v>
      </c>
      <c r="P72" s="7">
        <f t="shared" si="10"/>
        <v>17267100.009999968</v>
      </c>
    </row>
    <row r="73" spans="2:17" x14ac:dyDescent="0.3">
      <c r="B73" s="17" t="s">
        <v>127</v>
      </c>
      <c r="C73" s="1" t="s">
        <v>69</v>
      </c>
      <c r="D73" s="2">
        <v>15315.299999999899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f t="shared" ref="P73:P84" si="11">SUM(D73:O73)</f>
        <v>15315.299999999899</v>
      </c>
      <c r="Q73" s="9"/>
    </row>
    <row r="74" spans="2:17" x14ac:dyDescent="0.3">
      <c r="B74" s="17"/>
      <c r="C74" s="1" t="s">
        <v>70</v>
      </c>
      <c r="D74" s="2">
        <v>76929.199999999895</v>
      </c>
      <c r="E74" s="2">
        <v>90161.600000000006</v>
      </c>
      <c r="F74" s="2">
        <v>94492</v>
      </c>
      <c r="G74" s="2">
        <v>116737.2</v>
      </c>
      <c r="H74" s="2">
        <v>120772.35</v>
      </c>
      <c r="I74" s="2">
        <v>171368.2</v>
      </c>
      <c r="J74" s="2">
        <v>225495.6</v>
      </c>
      <c r="K74" s="2">
        <v>56263</v>
      </c>
      <c r="L74" s="2">
        <v>162363</v>
      </c>
      <c r="M74" s="2">
        <v>158857.799999999</v>
      </c>
      <c r="N74" s="2">
        <v>118422</v>
      </c>
      <c r="O74" s="2">
        <v>116190</v>
      </c>
      <c r="P74" s="2">
        <f t="shared" si="11"/>
        <v>1508051.9499999988</v>
      </c>
      <c r="Q74" s="9"/>
    </row>
    <row r="75" spans="2:17" x14ac:dyDescent="0.3">
      <c r="B75" s="17"/>
      <c r="C75" s="1" t="s">
        <v>71</v>
      </c>
      <c r="D75" s="2">
        <v>0</v>
      </c>
      <c r="E75" s="2">
        <v>80365.759999999893</v>
      </c>
      <c r="F75" s="2">
        <v>15573.299999999899</v>
      </c>
      <c r="G75" s="2">
        <v>17531.5</v>
      </c>
      <c r="H75" s="2">
        <v>0</v>
      </c>
      <c r="I75" s="2">
        <v>24375.4</v>
      </c>
      <c r="J75" s="2">
        <v>117057.8</v>
      </c>
      <c r="K75" s="2">
        <v>0</v>
      </c>
      <c r="L75" s="2">
        <v>172453.1</v>
      </c>
      <c r="M75" s="2">
        <v>106523.91</v>
      </c>
      <c r="N75" s="2">
        <v>0</v>
      </c>
      <c r="O75" s="2">
        <v>2098.5999999999899</v>
      </c>
      <c r="P75" s="2">
        <f t="shared" si="11"/>
        <v>535979.36999999976</v>
      </c>
      <c r="Q75" s="9"/>
    </row>
    <row r="76" spans="2:17" x14ac:dyDescent="0.3">
      <c r="B76" s="17"/>
      <c r="C76" s="1" t="s">
        <v>72</v>
      </c>
      <c r="D76" s="2">
        <v>0</v>
      </c>
      <c r="E76" s="2">
        <v>0</v>
      </c>
      <c r="F76" s="2">
        <v>0</v>
      </c>
      <c r="G76" s="2">
        <v>12558</v>
      </c>
      <c r="H76" s="2">
        <v>19325.150000000001</v>
      </c>
      <c r="I76" s="2">
        <v>12671.1</v>
      </c>
      <c r="J76" s="2">
        <v>4192.5</v>
      </c>
      <c r="K76" s="2">
        <v>3618.55</v>
      </c>
      <c r="L76" s="2">
        <v>0</v>
      </c>
      <c r="M76" s="2">
        <v>0</v>
      </c>
      <c r="N76" s="2">
        <v>0</v>
      </c>
      <c r="O76" s="2">
        <v>0</v>
      </c>
      <c r="P76" s="2">
        <f t="shared" si="11"/>
        <v>52365.3</v>
      </c>
      <c r="Q76" s="9"/>
    </row>
    <row r="77" spans="2:17" x14ac:dyDescent="0.3">
      <c r="B77" s="17"/>
      <c r="C77" s="1" t="s">
        <v>73</v>
      </c>
      <c r="D77" s="2">
        <v>0</v>
      </c>
      <c r="E77" s="2">
        <v>31474.029999999901</v>
      </c>
      <c r="F77" s="2">
        <v>33686.099999999897</v>
      </c>
      <c r="G77" s="2">
        <v>24541.299999999901</v>
      </c>
      <c r="H77" s="2">
        <v>36622.07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16543.799999999901</v>
      </c>
      <c r="P77" s="2">
        <f t="shared" si="11"/>
        <v>142867.29999999961</v>
      </c>
      <c r="Q77" s="9"/>
    </row>
    <row r="78" spans="2:17" x14ac:dyDescent="0.3">
      <c r="B78" s="17"/>
      <c r="C78" s="1" t="s">
        <v>74</v>
      </c>
      <c r="D78" s="2">
        <v>17623.2</v>
      </c>
      <c r="E78" s="2">
        <v>0</v>
      </c>
      <c r="F78" s="2">
        <v>0</v>
      </c>
      <c r="G78" s="2">
        <v>14750</v>
      </c>
      <c r="H78" s="2">
        <v>16442.299999999901</v>
      </c>
      <c r="I78" s="2">
        <v>55791.4</v>
      </c>
      <c r="J78" s="2">
        <v>15945.299999999899</v>
      </c>
      <c r="K78" s="2">
        <v>0</v>
      </c>
      <c r="L78" s="2">
        <v>16731.400000000001</v>
      </c>
      <c r="M78" s="2">
        <v>0</v>
      </c>
      <c r="N78" s="2">
        <v>0</v>
      </c>
      <c r="O78" s="2">
        <v>24945.200000000001</v>
      </c>
      <c r="P78" s="2">
        <f t="shared" si="11"/>
        <v>162228.79999999981</v>
      </c>
      <c r="Q78" s="9"/>
    </row>
    <row r="79" spans="2:17" x14ac:dyDescent="0.3">
      <c r="B79" s="17"/>
      <c r="C79" s="1" t="s">
        <v>75</v>
      </c>
      <c r="D79" s="2">
        <v>75975.199999999895</v>
      </c>
      <c r="E79" s="2">
        <v>73153.289999999906</v>
      </c>
      <c r="F79" s="2">
        <v>107122.98</v>
      </c>
      <c r="G79" s="2">
        <v>176760.1</v>
      </c>
      <c r="H79" s="2">
        <v>136629.20000000001</v>
      </c>
      <c r="I79" s="2">
        <v>117714.429999999</v>
      </c>
      <c r="J79" s="2">
        <v>139926.799999999</v>
      </c>
      <c r="K79" s="2">
        <v>128489.399999999</v>
      </c>
      <c r="L79" s="2">
        <v>122035.45</v>
      </c>
      <c r="M79" s="2">
        <v>172798.32</v>
      </c>
      <c r="N79" s="2">
        <v>164989.109999999</v>
      </c>
      <c r="O79" s="2">
        <v>176312.38</v>
      </c>
      <c r="P79" s="2">
        <f t="shared" si="11"/>
        <v>1591906.659999996</v>
      </c>
      <c r="Q79" s="9"/>
    </row>
    <row r="80" spans="2:17" x14ac:dyDescent="0.3">
      <c r="B80" s="17"/>
      <c r="C80" s="1" t="s">
        <v>76</v>
      </c>
      <c r="D80" s="2">
        <v>0</v>
      </c>
      <c r="E80" s="2">
        <v>0</v>
      </c>
      <c r="F80" s="2">
        <v>17077.900000000001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17242.400000000001</v>
      </c>
      <c r="N80" s="2">
        <v>0</v>
      </c>
      <c r="O80" s="2">
        <v>0</v>
      </c>
      <c r="P80" s="2">
        <f t="shared" si="11"/>
        <v>34320.300000000003</v>
      </c>
      <c r="Q80" s="9"/>
    </row>
    <row r="81" spans="2:17" x14ac:dyDescent="0.3">
      <c r="B81" s="17"/>
      <c r="C81" s="1" t="s">
        <v>77</v>
      </c>
      <c r="D81" s="2">
        <v>86584</v>
      </c>
      <c r="E81" s="2">
        <v>124887.17</v>
      </c>
      <c r="F81" s="2">
        <v>62089.86</v>
      </c>
      <c r="G81" s="2">
        <v>67247.91</v>
      </c>
      <c r="H81" s="2">
        <v>102028.1</v>
      </c>
      <c r="I81" s="2">
        <v>96114.35</v>
      </c>
      <c r="J81" s="2">
        <v>80550.55</v>
      </c>
      <c r="K81" s="2">
        <v>75649.399999999907</v>
      </c>
      <c r="L81" s="2">
        <v>82380.75</v>
      </c>
      <c r="M81" s="2">
        <v>79565.350000000006</v>
      </c>
      <c r="N81" s="2">
        <v>46506.949999999903</v>
      </c>
      <c r="O81" s="2">
        <v>87016.35</v>
      </c>
      <c r="P81" s="2">
        <f t="shared" si="11"/>
        <v>990620.73999999976</v>
      </c>
      <c r="Q81" s="9"/>
    </row>
    <row r="82" spans="2:17" x14ac:dyDescent="0.3">
      <c r="B82" s="17"/>
      <c r="C82" s="1" t="s">
        <v>78</v>
      </c>
      <c r="D82" s="2">
        <v>0</v>
      </c>
      <c r="E82" s="2">
        <v>0</v>
      </c>
      <c r="F82" s="2">
        <v>25078.2</v>
      </c>
      <c r="G82" s="2">
        <v>0</v>
      </c>
      <c r="H82" s="2">
        <v>0</v>
      </c>
      <c r="I82" s="2">
        <v>0</v>
      </c>
      <c r="J82" s="2">
        <v>12639.9</v>
      </c>
      <c r="K82" s="2">
        <v>6656.3</v>
      </c>
      <c r="L82" s="2">
        <v>42487.9</v>
      </c>
      <c r="M82" s="2">
        <v>14501.9</v>
      </c>
      <c r="N82" s="2">
        <v>3558.8</v>
      </c>
      <c r="O82" s="2">
        <v>30483.5999999999</v>
      </c>
      <c r="P82" s="2">
        <f t="shared" si="11"/>
        <v>135406.59999999989</v>
      </c>
      <c r="Q82" s="9"/>
    </row>
    <row r="83" spans="2:17" x14ac:dyDescent="0.3">
      <c r="B83" s="17"/>
      <c r="C83" s="1" t="s">
        <v>79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15429.6</v>
      </c>
      <c r="K83" s="2">
        <v>0</v>
      </c>
      <c r="L83" s="2">
        <v>0</v>
      </c>
      <c r="M83" s="2">
        <v>0</v>
      </c>
      <c r="N83" s="2">
        <v>0</v>
      </c>
      <c r="O83" s="2">
        <v>60530.169999999896</v>
      </c>
      <c r="P83" s="2">
        <f t="shared" si="11"/>
        <v>75959.769999999902</v>
      </c>
      <c r="Q83" s="9"/>
    </row>
    <row r="84" spans="2:17" x14ac:dyDescent="0.3">
      <c r="B84" s="17"/>
      <c r="C84" s="1" t="s">
        <v>80</v>
      </c>
      <c r="D84" s="2">
        <v>1675173.6599999899</v>
      </c>
      <c r="E84" s="2">
        <v>1583875.01</v>
      </c>
      <c r="F84" s="2">
        <v>111500</v>
      </c>
      <c r="G84" s="2">
        <v>785167.85999999905</v>
      </c>
      <c r="H84" s="2">
        <v>503967.53999999899</v>
      </c>
      <c r="I84" s="2">
        <v>541208.07999999903</v>
      </c>
      <c r="J84" s="2">
        <v>1403267.46</v>
      </c>
      <c r="K84" s="2">
        <v>899797.52</v>
      </c>
      <c r="L84" s="2">
        <v>793718.32999999903</v>
      </c>
      <c r="M84" s="2">
        <v>1195285.6499999899</v>
      </c>
      <c r="N84" s="2">
        <v>946605.76</v>
      </c>
      <c r="O84" s="2">
        <v>1582511.05</v>
      </c>
      <c r="P84" s="2">
        <f t="shared" si="11"/>
        <v>12022077.919999976</v>
      </c>
      <c r="Q84" s="9"/>
    </row>
    <row r="85" spans="2:17" x14ac:dyDescent="0.3">
      <c r="B85" s="6"/>
      <c r="C85" s="6" t="s">
        <v>81</v>
      </c>
      <c r="D85" s="7">
        <f t="shared" ref="D85:P85" si="12">SUM(D86:D99)</f>
        <v>706851.83999999973</v>
      </c>
      <c r="E85" s="7">
        <f t="shared" si="12"/>
        <v>534239.87999999954</v>
      </c>
      <c r="F85" s="7">
        <f t="shared" si="12"/>
        <v>587101.79999999877</v>
      </c>
      <c r="G85" s="7">
        <f t="shared" si="12"/>
        <v>491013.07999999943</v>
      </c>
      <c r="H85" s="7">
        <f t="shared" si="12"/>
        <v>967983.10999999882</v>
      </c>
      <c r="I85" s="7">
        <f t="shared" si="12"/>
        <v>1043398.2899999986</v>
      </c>
      <c r="J85" s="7">
        <f t="shared" si="12"/>
        <v>1270588.5909999947</v>
      </c>
      <c r="K85" s="7">
        <f t="shared" si="12"/>
        <v>759401.03999999817</v>
      </c>
      <c r="L85" s="7">
        <f t="shared" si="12"/>
        <v>1353645.2409999995</v>
      </c>
      <c r="M85" s="7">
        <f t="shared" si="12"/>
        <v>1866469.4089999981</v>
      </c>
      <c r="N85" s="7">
        <f t="shared" si="12"/>
        <v>1457928.5869999996</v>
      </c>
      <c r="O85" s="7">
        <f t="shared" si="12"/>
        <v>1006174.724999995</v>
      </c>
      <c r="P85" s="7">
        <f t="shared" si="12"/>
        <v>12044795.59299998</v>
      </c>
    </row>
    <row r="86" spans="2:17" x14ac:dyDescent="0.3">
      <c r="B86" s="17" t="s">
        <v>128</v>
      </c>
      <c r="C86" s="1" t="s">
        <v>82</v>
      </c>
      <c r="D86" s="2">
        <v>190285.94</v>
      </c>
      <c r="E86" s="2">
        <v>155820.5</v>
      </c>
      <c r="F86" s="2">
        <v>113287.6</v>
      </c>
      <c r="G86" s="2">
        <v>61857.599999999897</v>
      </c>
      <c r="H86" s="2">
        <v>106190.1</v>
      </c>
      <c r="I86" s="2">
        <v>130859.14</v>
      </c>
      <c r="J86" s="2">
        <v>128423.00999999901</v>
      </c>
      <c r="K86" s="2">
        <v>154935.929999999</v>
      </c>
      <c r="L86" s="2">
        <v>72499.369999999893</v>
      </c>
      <c r="M86" s="2">
        <v>110336.399999999</v>
      </c>
      <c r="N86" s="2">
        <v>90056.169999999896</v>
      </c>
      <c r="O86" s="2">
        <v>113978.399999999</v>
      </c>
      <c r="P86" s="2">
        <f t="shared" ref="P86:P99" si="13">SUM(D86:O86)</f>
        <v>1428530.1599999957</v>
      </c>
      <c r="Q86" s="9"/>
    </row>
    <row r="87" spans="2:17" x14ac:dyDescent="0.3">
      <c r="B87" s="17"/>
      <c r="C87" s="1" t="s">
        <v>83</v>
      </c>
      <c r="D87" s="2">
        <v>85592.899999999907</v>
      </c>
      <c r="E87" s="2">
        <v>82981.97</v>
      </c>
      <c r="F87" s="2">
        <v>172049.179999999</v>
      </c>
      <c r="G87" s="2">
        <v>51317.099999999897</v>
      </c>
      <c r="H87" s="2">
        <v>87808.75</v>
      </c>
      <c r="I87" s="2">
        <v>69335.8</v>
      </c>
      <c r="J87" s="2">
        <v>169330.5</v>
      </c>
      <c r="K87" s="2">
        <v>66889.199999999895</v>
      </c>
      <c r="L87" s="2">
        <v>98579.979999999894</v>
      </c>
      <c r="M87" s="2">
        <v>104367.71</v>
      </c>
      <c r="N87" s="2">
        <v>168842.04</v>
      </c>
      <c r="O87" s="2">
        <v>11665.2</v>
      </c>
      <c r="P87" s="2">
        <f t="shared" si="13"/>
        <v>1168760.3299999984</v>
      </c>
      <c r="Q87" s="9"/>
    </row>
    <row r="88" spans="2:17" x14ac:dyDescent="0.3">
      <c r="B88" s="17"/>
      <c r="C88" s="1" t="s">
        <v>84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30162</v>
      </c>
      <c r="P88" s="2">
        <f t="shared" si="13"/>
        <v>30162</v>
      </c>
      <c r="Q88" s="9"/>
    </row>
    <row r="89" spans="2:17" x14ac:dyDescent="0.3">
      <c r="B89" s="17"/>
      <c r="C89" s="1" t="s">
        <v>85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5201.43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f t="shared" si="13"/>
        <v>5201.43</v>
      </c>
      <c r="Q89" s="9"/>
    </row>
    <row r="90" spans="2:17" x14ac:dyDescent="0.3">
      <c r="B90" s="17"/>
      <c r="C90" s="1" t="s">
        <v>86</v>
      </c>
      <c r="D90" s="2">
        <v>20034.5999999999</v>
      </c>
      <c r="E90" s="2">
        <v>15721.2</v>
      </c>
      <c r="F90" s="2">
        <v>0</v>
      </c>
      <c r="G90" s="2">
        <v>15917.4</v>
      </c>
      <c r="H90" s="2">
        <v>28751.4</v>
      </c>
      <c r="I90" s="2">
        <v>22051.200000000001</v>
      </c>
      <c r="J90" s="2">
        <v>14052.6</v>
      </c>
      <c r="K90" s="2">
        <v>19062</v>
      </c>
      <c r="L90" s="2">
        <v>39345.599999999897</v>
      </c>
      <c r="M90" s="2">
        <v>105497.399999999</v>
      </c>
      <c r="N90" s="2">
        <v>66361.199999999895</v>
      </c>
      <c r="O90" s="2">
        <v>59326.199999999903</v>
      </c>
      <c r="P90" s="2">
        <f t="shared" si="13"/>
        <v>406120.79999999859</v>
      </c>
      <c r="Q90" s="9"/>
    </row>
    <row r="91" spans="2:17" x14ac:dyDescent="0.3">
      <c r="B91" s="17"/>
      <c r="C91" s="1" t="s">
        <v>87</v>
      </c>
      <c r="D91" s="2">
        <v>56650.05</v>
      </c>
      <c r="E91" s="2">
        <v>40584.709999999897</v>
      </c>
      <c r="F91" s="2">
        <v>20743.799999999901</v>
      </c>
      <c r="G91" s="2">
        <v>72660.419999999896</v>
      </c>
      <c r="H91" s="2">
        <v>33688.199999999903</v>
      </c>
      <c r="I91" s="2">
        <v>23514.15</v>
      </c>
      <c r="J91" s="2">
        <v>38740.300000000003</v>
      </c>
      <c r="K91" s="2">
        <v>53958.349999999897</v>
      </c>
      <c r="L91" s="2">
        <v>36823.69</v>
      </c>
      <c r="M91" s="2">
        <v>21458.47</v>
      </c>
      <c r="N91" s="2">
        <v>76922.759999999893</v>
      </c>
      <c r="O91" s="2">
        <v>25916.91</v>
      </c>
      <c r="P91" s="2">
        <f t="shared" si="13"/>
        <v>501661.80999999942</v>
      </c>
      <c r="Q91" s="9"/>
    </row>
    <row r="92" spans="2:17" x14ac:dyDescent="0.3">
      <c r="B92" s="17"/>
      <c r="C92" s="1" t="s">
        <v>88</v>
      </c>
      <c r="D92" s="2">
        <v>45392.75</v>
      </c>
      <c r="E92" s="2">
        <v>17849</v>
      </c>
      <c r="F92" s="2">
        <v>8671.6499999999905</v>
      </c>
      <c r="G92" s="2">
        <v>17628</v>
      </c>
      <c r="H92" s="2">
        <v>0</v>
      </c>
      <c r="I92" s="2">
        <v>89462.75</v>
      </c>
      <c r="J92" s="2">
        <v>0</v>
      </c>
      <c r="K92" s="2">
        <v>14831.7</v>
      </c>
      <c r="L92" s="2">
        <v>0</v>
      </c>
      <c r="M92" s="2">
        <v>34966.75</v>
      </c>
      <c r="N92" s="2">
        <v>18570.5</v>
      </c>
      <c r="O92" s="2">
        <v>0</v>
      </c>
      <c r="P92" s="2">
        <f t="shared" si="13"/>
        <v>247373.1</v>
      </c>
      <c r="Q92" s="9"/>
    </row>
    <row r="93" spans="2:17" x14ac:dyDescent="0.3">
      <c r="B93" s="17"/>
      <c r="C93" s="1" t="s">
        <v>89</v>
      </c>
      <c r="D93" s="2">
        <v>29531.45</v>
      </c>
      <c r="E93" s="2">
        <v>20721.3499999999</v>
      </c>
      <c r="F93" s="2">
        <v>39446.959999999897</v>
      </c>
      <c r="G93" s="2">
        <v>39518.699999999903</v>
      </c>
      <c r="H93" s="2">
        <v>26451.0999999999</v>
      </c>
      <c r="I93" s="2">
        <v>45745.699999999903</v>
      </c>
      <c r="J93" s="2">
        <v>55162.949999999903</v>
      </c>
      <c r="K93" s="2">
        <v>45330.349999999897</v>
      </c>
      <c r="L93" s="2">
        <v>67975.039999999906</v>
      </c>
      <c r="M93" s="2">
        <v>52449.8</v>
      </c>
      <c r="N93" s="2">
        <v>44968.949999999903</v>
      </c>
      <c r="O93" s="2">
        <v>0</v>
      </c>
      <c r="P93" s="2">
        <f t="shared" si="13"/>
        <v>467302.3499999991</v>
      </c>
      <c r="Q93" s="9"/>
    </row>
    <row r="94" spans="2:17" x14ac:dyDescent="0.3">
      <c r="B94" s="17"/>
      <c r="C94" s="1" t="s">
        <v>90</v>
      </c>
      <c r="D94" s="2">
        <v>0</v>
      </c>
      <c r="E94" s="2">
        <v>16591.400000000001</v>
      </c>
      <c r="F94" s="2">
        <v>7042.6999999999898</v>
      </c>
      <c r="G94" s="2">
        <v>8828.3999999999905</v>
      </c>
      <c r="H94" s="2">
        <v>17052</v>
      </c>
      <c r="I94" s="2">
        <v>7357</v>
      </c>
      <c r="J94" s="2">
        <v>15228.5</v>
      </c>
      <c r="K94" s="2">
        <v>0</v>
      </c>
      <c r="L94" s="2">
        <v>0</v>
      </c>
      <c r="M94" s="2">
        <v>10882.9</v>
      </c>
      <c r="N94" s="2">
        <v>0</v>
      </c>
      <c r="O94" s="2">
        <v>22974</v>
      </c>
      <c r="P94" s="2">
        <f t="shared" si="13"/>
        <v>105956.89999999998</v>
      </c>
      <c r="Q94" s="9"/>
    </row>
    <row r="95" spans="2:17" x14ac:dyDescent="0.3">
      <c r="B95" s="17"/>
      <c r="C95" s="1" t="s">
        <v>91</v>
      </c>
      <c r="D95" s="2">
        <v>174236.35</v>
      </c>
      <c r="E95" s="2">
        <v>70261.929999999906</v>
      </c>
      <c r="F95" s="2">
        <v>151123.01</v>
      </c>
      <c r="G95" s="2">
        <v>97896.8</v>
      </c>
      <c r="H95" s="2">
        <v>134713.95000000001</v>
      </c>
      <c r="I95" s="2">
        <v>568618.34999999905</v>
      </c>
      <c r="J95" s="2">
        <v>178953.899999999</v>
      </c>
      <c r="K95" s="2">
        <v>100271.7</v>
      </c>
      <c r="L95" s="2">
        <v>186695.48</v>
      </c>
      <c r="M95" s="2">
        <v>117474.95</v>
      </c>
      <c r="N95" s="2">
        <v>129860.45</v>
      </c>
      <c r="O95" s="2">
        <v>285587.91999999899</v>
      </c>
      <c r="P95" s="2">
        <f t="shared" si="13"/>
        <v>2195694.7899999968</v>
      </c>
      <c r="Q95" s="9"/>
    </row>
    <row r="96" spans="2:17" x14ac:dyDescent="0.3">
      <c r="B96" s="17"/>
      <c r="C96" s="1" t="s">
        <v>92</v>
      </c>
      <c r="D96" s="2">
        <v>25567.200000000001</v>
      </c>
      <c r="E96" s="2">
        <v>47860.699999999903</v>
      </c>
      <c r="F96" s="2">
        <v>18858</v>
      </c>
      <c r="G96" s="2">
        <v>91416.960000000006</v>
      </c>
      <c r="H96" s="2">
        <v>481058.609999999</v>
      </c>
      <c r="I96" s="2">
        <v>40896.599999999897</v>
      </c>
      <c r="J96" s="2">
        <v>56914.449999999903</v>
      </c>
      <c r="K96" s="2">
        <v>33590.400000000001</v>
      </c>
      <c r="L96" s="2">
        <v>25106.400000000001</v>
      </c>
      <c r="M96" s="2">
        <v>115689</v>
      </c>
      <c r="N96" s="2">
        <v>40712.699999999903</v>
      </c>
      <c r="O96" s="2">
        <v>44945.4</v>
      </c>
      <c r="P96" s="2">
        <f t="shared" si="13"/>
        <v>1022616.4199999988</v>
      </c>
      <c r="Q96" s="9"/>
    </row>
    <row r="97" spans="2:17" x14ac:dyDescent="0.3">
      <c r="B97" s="17"/>
      <c r="C97" s="1" t="s">
        <v>93</v>
      </c>
      <c r="D97" s="2">
        <v>79560.600000000006</v>
      </c>
      <c r="E97" s="2">
        <v>65847.119999999893</v>
      </c>
      <c r="F97" s="2">
        <v>55878.9</v>
      </c>
      <c r="G97" s="2">
        <v>33971.699999999903</v>
      </c>
      <c r="H97" s="2">
        <v>52269</v>
      </c>
      <c r="I97" s="2">
        <v>45557.599999999897</v>
      </c>
      <c r="J97" s="2">
        <v>68327</v>
      </c>
      <c r="K97" s="2">
        <v>70277.899999999907</v>
      </c>
      <c r="L97" s="2">
        <v>35394.800000000003</v>
      </c>
      <c r="M97" s="2">
        <v>68105.3</v>
      </c>
      <c r="N97" s="2">
        <v>53518.5</v>
      </c>
      <c r="O97" s="2">
        <v>62600.9</v>
      </c>
      <c r="P97" s="2">
        <f t="shared" si="13"/>
        <v>691309.31999999972</v>
      </c>
      <c r="Q97" s="9"/>
    </row>
    <row r="98" spans="2:17" x14ac:dyDescent="0.3">
      <c r="B98" s="17"/>
      <c r="C98" s="1" t="s">
        <v>94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58885.449999999903</v>
      </c>
      <c r="K98" s="2">
        <v>16814.8499999999</v>
      </c>
      <c r="L98" s="2">
        <v>0</v>
      </c>
      <c r="M98" s="2">
        <v>0</v>
      </c>
      <c r="N98" s="2">
        <v>0</v>
      </c>
      <c r="O98" s="2">
        <v>0</v>
      </c>
      <c r="P98" s="2">
        <f t="shared" si="13"/>
        <v>75700.299999999799</v>
      </c>
      <c r="Q98" s="9"/>
    </row>
    <row r="99" spans="2:17" x14ac:dyDescent="0.3">
      <c r="B99" s="17"/>
      <c r="C99" s="1" t="s">
        <v>34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481368.50099999696</v>
      </c>
      <c r="K99" s="2">
        <v>183438.65999999971</v>
      </c>
      <c r="L99" s="2">
        <v>791224.88099999994</v>
      </c>
      <c r="M99" s="2">
        <v>1125240.7290000001</v>
      </c>
      <c r="N99" s="2">
        <v>768115.31700000004</v>
      </c>
      <c r="O99" s="2">
        <v>349017.79499999696</v>
      </c>
      <c r="P99" s="2">
        <f t="shared" si="13"/>
        <v>3698405.8829999939</v>
      </c>
      <c r="Q99" s="9"/>
    </row>
    <row r="100" spans="2:17" x14ac:dyDescent="0.3">
      <c r="B100" s="6"/>
      <c r="C100" s="6" t="s">
        <v>95</v>
      </c>
      <c r="D100" s="7">
        <f t="shared" ref="D100:P100" si="14">SUM(D101:D108)</f>
        <v>800678.78999999899</v>
      </c>
      <c r="E100" s="7">
        <f t="shared" si="14"/>
        <v>453808.56999999989</v>
      </c>
      <c r="F100" s="7">
        <f t="shared" si="14"/>
        <v>426470.28999999893</v>
      </c>
      <c r="G100" s="7">
        <f t="shared" si="14"/>
        <v>679122.50999999885</v>
      </c>
      <c r="H100" s="7">
        <f t="shared" si="14"/>
        <v>690631.30999999912</v>
      </c>
      <c r="I100" s="7">
        <f t="shared" si="14"/>
        <v>680106.76999999874</v>
      </c>
      <c r="J100" s="7">
        <f t="shared" si="14"/>
        <v>564804.92000000004</v>
      </c>
      <c r="K100" s="7">
        <f t="shared" si="14"/>
        <v>542304.87999999989</v>
      </c>
      <c r="L100" s="7">
        <f t="shared" si="14"/>
        <v>640103.55999999889</v>
      </c>
      <c r="M100" s="7">
        <f t="shared" si="14"/>
        <v>547096.34999999974</v>
      </c>
      <c r="N100" s="7">
        <f t="shared" si="14"/>
        <v>635034.41999999806</v>
      </c>
      <c r="O100" s="7">
        <f t="shared" si="14"/>
        <v>741533.16999999876</v>
      </c>
      <c r="P100" s="7">
        <f t="shared" si="14"/>
        <v>7401695.5399999907</v>
      </c>
    </row>
    <row r="101" spans="2:17" x14ac:dyDescent="0.3">
      <c r="B101" s="17" t="s">
        <v>129</v>
      </c>
      <c r="C101" s="1" t="s">
        <v>96</v>
      </c>
      <c r="D101" s="2">
        <v>297320.89</v>
      </c>
      <c r="E101" s="2">
        <v>190029.59</v>
      </c>
      <c r="F101" s="2">
        <v>206553.489999999</v>
      </c>
      <c r="G101" s="2">
        <v>223525.59</v>
      </c>
      <c r="H101" s="2">
        <v>302561.15000000002</v>
      </c>
      <c r="I101" s="2">
        <v>223962.62</v>
      </c>
      <c r="J101" s="2">
        <v>231289.07</v>
      </c>
      <c r="K101" s="2">
        <v>259037.19</v>
      </c>
      <c r="L101" s="2">
        <v>258539.16</v>
      </c>
      <c r="M101" s="2">
        <v>330894</v>
      </c>
      <c r="N101" s="2">
        <v>177720.739999999</v>
      </c>
      <c r="O101" s="2">
        <v>217855.859999999</v>
      </c>
      <c r="P101" s="2">
        <f t="shared" ref="P101:P108" si="15">SUM(D101:O101)</f>
        <v>2919289.3499999968</v>
      </c>
      <c r="Q101" s="9"/>
    </row>
    <row r="102" spans="2:17" x14ac:dyDescent="0.3">
      <c r="B102" s="17"/>
      <c r="C102" s="1" t="s">
        <v>97</v>
      </c>
      <c r="D102" s="2">
        <v>31110.25</v>
      </c>
      <c r="E102" s="2">
        <v>50850</v>
      </c>
      <c r="F102" s="2">
        <v>0</v>
      </c>
      <c r="G102" s="2">
        <v>62220</v>
      </c>
      <c r="H102" s="2">
        <v>0</v>
      </c>
      <c r="I102" s="2">
        <v>51450</v>
      </c>
      <c r="J102" s="2">
        <v>9105.2000000000007</v>
      </c>
      <c r="K102" s="2">
        <v>0</v>
      </c>
      <c r="L102" s="2">
        <v>97572</v>
      </c>
      <c r="M102" s="2">
        <v>0</v>
      </c>
      <c r="N102" s="2">
        <v>0</v>
      </c>
      <c r="O102" s="2">
        <v>96344.399999999907</v>
      </c>
      <c r="P102" s="2">
        <f t="shared" si="15"/>
        <v>398651.84999999992</v>
      </c>
      <c r="Q102" s="9"/>
    </row>
    <row r="103" spans="2:17" x14ac:dyDescent="0.3">
      <c r="B103" s="17"/>
      <c r="C103" s="1" t="s">
        <v>98</v>
      </c>
      <c r="D103" s="2">
        <v>0</v>
      </c>
      <c r="E103" s="2">
        <v>37261.730000000003</v>
      </c>
      <c r="F103" s="2">
        <v>32703.24</v>
      </c>
      <c r="G103" s="2">
        <v>42581.4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f t="shared" si="15"/>
        <v>112546.37</v>
      </c>
      <c r="Q103" s="9"/>
    </row>
    <row r="104" spans="2:17" x14ac:dyDescent="0.3">
      <c r="B104" s="17"/>
      <c r="C104" s="1" t="s">
        <v>99</v>
      </c>
      <c r="D104" s="2">
        <v>259420.299999999</v>
      </c>
      <c r="E104" s="2">
        <v>12476.049999999899</v>
      </c>
      <c r="F104" s="2">
        <v>46233.599999999897</v>
      </c>
      <c r="G104" s="2">
        <v>93527.449999999895</v>
      </c>
      <c r="H104" s="2">
        <v>71864</v>
      </c>
      <c r="I104" s="2">
        <v>219571.649999999</v>
      </c>
      <c r="J104" s="2">
        <v>79392.72</v>
      </c>
      <c r="K104" s="2">
        <v>58843.849999999897</v>
      </c>
      <c r="L104" s="2">
        <v>34364.599999999897</v>
      </c>
      <c r="M104" s="2">
        <v>44046.099999999897</v>
      </c>
      <c r="N104" s="2">
        <v>79486</v>
      </c>
      <c r="O104" s="2">
        <v>102000.06</v>
      </c>
      <c r="P104" s="2">
        <f t="shared" si="15"/>
        <v>1101226.3799999973</v>
      </c>
      <c r="Q104" s="9"/>
    </row>
    <row r="105" spans="2:17" x14ac:dyDescent="0.3">
      <c r="B105" s="17"/>
      <c r="C105" s="1" t="s">
        <v>100</v>
      </c>
      <c r="D105" s="2">
        <v>24398.400000000001</v>
      </c>
      <c r="E105" s="2">
        <v>24398.400000000001</v>
      </c>
      <c r="F105" s="2">
        <v>24398.400000000001</v>
      </c>
      <c r="G105" s="2">
        <v>0</v>
      </c>
      <c r="H105" s="2">
        <v>24398.400000000001</v>
      </c>
      <c r="I105" s="2">
        <v>0</v>
      </c>
      <c r="J105" s="2">
        <v>0</v>
      </c>
      <c r="K105" s="2">
        <v>49774.400000000001</v>
      </c>
      <c r="L105" s="2">
        <v>6344</v>
      </c>
      <c r="M105" s="2">
        <v>24107.200000000001</v>
      </c>
      <c r="N105" s="2">
        <v>0</v>
      </c>
      <c r="O105" s="2">
        <v>25376</v>
      </c>
      <c r="P105" s="2">
        <f t="shared" si="15"/>
        <v>203195.2</v>
      </c>
      <c r="Q105" s="9"/>
    </row>
    <row r="106" spans="2:17" x14ac:dyDescent="0.3">
      <c r="B106" s="17"/>
      <c r="C106" s="1" t="s">
        <v>101</v>
      </c>
      <c r="D106" s="2">
        <v>79195.5</v>
      </c>
      <c r="E106" s="2">
        <v>47932.25</v>
      </c>
      <c r="F106" s="2">
        <v>98269.11</v>
      </c>
      <c r="G106" s="2">
        <v>107359.72</v>
      </c>
      <c r="H106" s="2">
        <v>107616.50999999901</v>
      </c>
      <c r="I106" s="2">
        <v>75772.699999999895</v>
      </c>
      <c r="J106" s="2">
        <v>90848.75</v>
      </c>
      <c r="K106" s="2">
        <v>111719.99</v>
      </c>
      <c r="L106" s="2">
        <v>181392.299999999</v>
      </c>
      <c r="M106" s="2">
        <v>79936.25</v>
      </c>
      <c r="N106" s="2">
        <v>125728.6</v>
      </c>
      <c r="O106" s="2">
        <v>92877.149999999907</v>
      </c>
      <c r="P106" s="2">
        <f t="shared" si="15"/>
        <v>1198648.8299999977</v>
      </c>
      <c r="Q106" s="9"/>
    </row>
    <row r="107" spans="2:17" x14ac:dyDescent="0.3">
      <c r="B107" s="17"/>
      <c r="C107" s="1" t="s">
        <v>102</v>
      </c>
      <c r="D107" s="2">
        <v>61663.199999999903</v>
      </c>
      <c r="E107" s="2">
        <v>74112.600000000006</v>
      </c>
      <c r="F107" s="2">
        <v>0</v>
      </c>
      <c r="G107" s="2">
        <v>139356.899999999</v>
      </c>
      <c r="H107" s="2">
        <v>154166.1</v>
      </c>
      <c r="I107" s="2">
        <v>81155.399999999907</v>
      </c>
      <c r="J107" s="2">
        <v>130242.03</v>
      </c>
      <c r="K107" s="2">
        <v>44771.699999999903</v>
      </c>
      <c r="L107" s="2">
        <v>23593.5</v>
      </c>
      <c r="M107" s="2">
        <v>47917.199999999903</v>
      </c>
      <c r="N107" s="2">
        <v>233274.899999999</v>
      </c>
      <c r="O107" s="2">
        <v>189409.5</v>
      </c>
      <c r="P107" s="2">
        <f t="shared" si="15"/>
        <v>1179663.0299999977</v>
      </c>
      <c r="Q107" s="9"/>
    </row>
    <row r="108" spans="2:17" x14ac:dyDescent="0.3">
      <c r="B108" s="17"/>
      <c r="C108" s="1" t="s">
        <v>103</v>
      </c>
      <c r="D108" s="2">
        <v>47570.25</v>
      </c>
      <c r="E108" s="2">
        <v>16747.95</v>
      </c>
      <c r="F108" s="2">
        <v>18312.45</v>
      </c>
      <c r="G108" s="2">
        <v>10551.45</v>
      </c>
      <c r="H108" s="2">
        <v>30025.15</v>
      </c>
      <c r="I108" s="2">
        <v>28194.400000000001</v>
      </c>
      <c r="J108" s="2">
        <v>23927.15</v>
      </c>
      <c r="K108" s="2">
        <v>18157.75</v>
      </c>
      <c r="L108" s="2">
        <v>38298</v>
      </c>
      <c r="M108" s="2">
        <v>20195.5999999999</v>
      </c>
      <c r="N108" s="2">
        <v>18824.18</v>
      </c>
      <c r="O108" s="2">
        <v>17670.2</v>
      </c>
      <c r="P108" s="2">
        <f t="shared" si="15"/>
        <v>288474.52999999991</v>
      </c>
      <c r="Q108" s="9"/>
    </row>
    <row r="109" spans="2:17" x14ac:dyDescent="0.3">
      <c r="B109" s="6"/>
      <c r="C109" s="6" t="s">
        <v>104</v>
      </c>
      <c r="D109" s="7">
        <f t="shared" ref="D109:P109" si="16">SUM(D110:D120)</f>
        <v>3471237.6099999896</v>
      </c>
      <c r="E109" s="7">
        <f t="shared" si="16"/>
        <v>6274452.1199999992</v>
      </c>
      <c r="F109" s="7">
        <f t="shared" si="16"/>
        <v>4280872.4699999867</v>
      </c>
      <c r="G109" s="7">
        <f t="shared" si="16"/>
        <v>5020101.8299999908</v>
      </c>
      <c r="H109" s="7">
        <f t="shared" si="16"/>
        <v>2244599.0599999987</v>
      </c>
      <c r="I109" s="7">
        <f t="shared" si="16"/>
        <v>9313533.999999987</v>
      </c>
      <c r="J109" s="7">
        <f t="shared" si="16"/>
        <v>9571171.0000000019</v>
      </c>
      <c r="K109" s="7">
        <f t="shared" si="16"/>
        <v>8416982.5799999908</v>
      </c>
      <c r="L109" s="7">
        <f t="shared" si="16"/>
        <v>11073234.269999979</v>
      </c>
      <c r="M109" s="7">
        <f t="shared" si="16"/>
        <v>8866523.459999999</v>
      </c>
      <c r="N109" s="7">
        <f t="shared" si="16"/>
        <v>6920748.6199999778</v>
      </c>
      <c r="O109" s="7">
        <f t="shared" si="16"/>
        <v>11351823.619999979</v>
      </c>
      <c r="P109" s="7">
        <f t="shared" si="16"/>
        <v>86805280.639999896</v>
      </c>
    </row>
    <row r="110" spans="2:17" x14ac:dyDescent="0.3">
      <c r="B110" s="17" t="s">
        <v>130</v>
      </c>
      <c r="C110" s="1" t="s">
        <v>105</v>
      </c>
      <c r="D110" s="2">
        <v>1137485.31</v>
      </c>
      <c r="E110" s="2">
        <v>3338723.33</v>
      </c>
      <c r="F110" s="2">
        <v>1883503.4199999899</v>
      </c>
      <c r="G110" s="2">
        <v>2019264.8899999899</v>
      </c>
      <c r="H110" s="2">
        <v>79320.899999999907</v>
      </c>
      <c r="I110" s="2">
        <v>4264417.5499999896</v>
      </c>
      <c r="J110" s="2">
        <v>3902901.74</v>
      </c>
      <c r="K110" s="2">
        <v>4347881.29</v>
      </c>
      <c r="L110" s="2">
        <v>4813163.5</v>
      </c>
      <c r="M110" s="2">
        <v>6622641.04</v>
      </c>
      <c r="N110" s="2">
        <v>3541156.5699999901</v>
      </c>
      <c r="O110" s="2">
        <v>3800547.8999999901</v>
      </c>
      <c r="P110" s="2">
        <f t="shared" ref="P110:P120" si="17">SUM(D110:O110)</f>
        <v>39751007.439999953</v>
      </c>
      <c r="Q110" s="9"/>
    </row>
    <row r="111" spans="2:17" x14ac:dyDescent="0.3">
      <c r="B111" s="17"/>
      <c r="C111" s="1" t="s">
        <v>106</v>
      </c>
      <c r="D111" s="2">
        <v>101838.21</v>
      </c>
      <c r="E111" s="2">
        <v>209573</v>
      </c>
      <c r="F111" s="2">
        <v>702522.09999999905</v>
      </c>
      <c r="G111" s="2">
        <v>584419.4</v>
      </c>
      <c r="H111" s="2">
        <v>1036380.7</v>
      </c>
      <c r="I111" s="2">
        <v>760254.8</v>
      </c>
      <c r="J111" s="2">
        <v>1032637.5</v>
      </c>
      <c r="K111" s="2">
        <v>1161186.6299999901</v>
      </c>
      <c r="L111" s="2">
        <v>2645668.75</v>
      </c>
      <c r="M111" s="2">
        <v>843024.87</v>
      </c>
      <c r="N111" s="2">
        <v>821688.95999999903</v>
      </c>
      <c r="O111" s="2">
        <v>2550112.2000000002</v>
      </c>
      <c r="P111" s="2">
        <f t="shared" si="17"/>
        <v>12449307.119999986</v>
      </c>
      <c r="Q111" s="9"/>
    </row>
    <row r="112" spans="2:17" x14ac:dyDescent="0.3">
      <c r="B112" s="17"/>
      <c r="C112" s="1" t="s">
        <v>107</v>
      </c>
      <c r="D112" s="2">
        <v>1462723.1899999899</v>
      </c>
      <c r="E112" s="2">
        <v>1296016.56</v>
      </c>
      <c r="F112" s="2">
        <v>802100.23999999894</v>
      </c>
      <c r="G112" s="2">
        <v>892799.64</v>
      </c>
      <c r="H112" s="2">
        <v>685493.04</v>
      </c>
      <c r="I112" s="2">
        <v>643012.55000000005</v>
      </c>
      <c r="J112" s="2">
        <v>2692049.5</v>
      </c>
      <c r="K112" s="2">
        <v>1371964.74</v>
      </c>
      <c r="L112" s="2">
        <v>2114308.1099999901</v>
      </c>
      <c r="M112" s="2">
        <v>180914.7</v>
      </c>
      <c r="N112" s="2">
        <v>341869.09</v>
      </c>
      <c r="O112" s="2">
        <v>831656.66</v>
      </c>
      <c r="P112" s="2">
        <f t="shared" si="17"/>
        <v>13314908.019999977</v>
      </c>
      <c r="Q112" s="9"/>
    </row>
    <row r="113" spans="2:17" x14ac:dyDescent="0.3">
      <c r="B113" s="17"/>
      <c r="C113" s="1" t="s">
        <v>108</v>
      </c>
      <c r="D113" s="2">
        <v>246564.1</v>
      </c>
      <c r="E113" s="2">
        <v>626197.72999999905</v>
      </c>
      <c r="F113" s="2">
        <v>310523.609999999</v>
      </c>
      <c r="G113" s="2">
        <v>635051.5</v>
      </c>
      <c r="H113" s="2">
        <v>433404.41999999899</v>
      </c>
      <c r="I113" s="2">
        <v>900531.3</v>
      </c>
      <c r="J113" s="2">
        <v>299773.38</v>
      </c>
      <c r="K113" s="2">
        <v>991394.92</v>
      </c>
      <c r="L113" s="2">
        <v>1453043.8999999899</v>
      </c>
      <c r="M113" s="2">
        <v>739630.25</v>
      </c>
      <c r="N113" s="2">
        <v>1570313.3999999899</v>
      </c>
      <c r="O113" s="2">
        <v>1245315.6000000001</v>
      </c>
      <c r="P113" s="2">
        <f t="shared" si="17"/>
        <v>9451744.1099999771</v>
      </c>
      <c r="Q113" s="9"/>
    </row>
    <row r="114" spans="2:17" x14ac:dyDescent="0.3">
      <c r="B114" s="17"/>
      <c r="C114" s="1" t="s">
        <v>109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1801913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23075.360000000001</v>
      </c>
      <c r="P114" s="2">
        <f t="shared" si="17"/>
        <v>1824988.36</v>
      </c>
      <c r="Q114" s="9"/>
    </row>
    <row r="115" spans="2:17" x14ac:dyDescent="0.3">
      <c r="B115" s="17"/>
      <c r="C115" s="1" t="s">
        <v>110</v>
      </c>
      <c r="D115" s="2">
        <v>357984</v>
      </c>
      <c r="E115" s="2">
        <v>569756.4</v>
      </c>
      <c r="F115" s="2">
        <v>431660.4</v>
      </c>
      <c r="G115" s="2">
        <v>767534</v>
      </c>
      <c r="H115" s="2">
        <v>0</v>
      </c>
      <c r="I115" s="2">
        <v>695664</v>
      </c>
      <c r="J115" s="2">
        <v>1409174</v>
      </c>
      <c r="K115" s="2">
        <v>347690</v>
      </c>
      <c r="L115" s="2">
        <v>0</v>
      </c>
      <c r="M115" s="2">
        <v>431077.799999999</v>
      </c>
      <c r="N115" s="2">
        <v>402835.799999999</v>
      </c>
      <c r="O115" s="2">
        <v>568213.02</v>
      </c>
      <c r="P115" s="2">
        <f t="shared" si="17"/>
        <v>5981589.4199999981</v>
      </c>
      <c r="Q115" s="9"/>
    </row>
    <row r="116" spans="2:17" x14ac:dyDescent="0.3">
      <c r="B116" s="17"/>
      <c r="C116" s="1" t="s">
        <v>111</v>
      </c>
      <c r="D116" s="2">
        <v>57690</v>
      </c>
      <c r="E116" s="2">
        <v>35805</v>
      </c>
      <c r="F116" s="2">
        <v>47346</v>
      </c>
      <c r="G116" s="2">
        <v>40434</v>
      </c>
      <c r="H116" s="2">
        <v>0</v>
      </c>
      <c r="I116" s="2">
        <v>48855</v>
      </c>
      <c r="J116" s="2">
        <v>30365.98</v>
      </c>
      <c r="K116" s="2">
        <v>32444.400000000001</v>
      </c>
      <c r="L116" s="2">
        <v>37050.01</v>
      </c>
      <c r="M116" s="2">
        <v>31755</v>
      </c>
      <c r="N116" s="2">
        <v>48855</v>
      </c>
      <c r="O116" s="2">
        <v>53925</v>
      </c>
      <c r="P116" s="2">
        <f t="shared" si="17"/>
        <v>464525.39</v>
      </c>
      <c r="Q116" s="9"/>
    </row>
    <row r="117" spans="2:17" x14ac:dyDescent="0.3">
      <c r="B117" s="17"/>
      <c r="C117" s="1" t="s">
        <v>112</v>
      </c>
      <c r="D117" s="2">
        <v>0</v>
      </c>
      <c r="E117" s="2">
        <v>188380.1</v>
      </c>
      <c r="F117" s="2">
        <v>76500.699999999895</v>
      </c>
      <c r="G117" s="2">
        <v>0</v>
      </c>
      <c r="H117" s="2">
        <v>0</v>
      </c>
      <c r="I117" s="2">
        <v>17056.5999999999</v>
      </c>
      <c r="J117" s="2">
        <v>78267.3</v>
      </c>
      <c r="K117" s="2">
        <v>21409</v>
      </c>
      <c r="L117" s="2">
        <v>0</v>
      </c>
      <c r="M117" s="2">
        <v>15537.6</v>
      </c>
      <c r="N117" s="2">
        <v>67140</v>
      </c>
      <c r="O117" s="2">
        <v>2278977.8799999901</v>
      </c>
      <c r="P117" s="2">
        <f t="shared" si="17"/>
        <v>2743269.1799999899</v>
      </c>
      <c r="Q117" s="9"/>
    </row>
    <row r="118" spans="2:17" x14ac:dyDescent="0.3">
      <c r="B118" s="17"/>
      <c r="C118" s="1" t="s">
        <v>113</v>
      </c>
      <c r="D118" s="2">
        <v>96952.8</v>
      </c>
      <c r="E118" s="2">
        <v>0</v>
      </c>
      <c r="F118" s="2">
        <v>16716</v>
      </c>
      <c r="G118" s="2">
        <v>70598.399999999907</v>
      </c>
      <c r="H118" s="2">
        <v>0</v>
      </c>
      <c r="I118" s="2">
        <v>160568.399999999</v>
      </c>
      <c r="J118" s="2">
        <v>116001.60000000001</v>
      </c>
      <c r="K118" s="2">
        <v>133011.6</v>
      </c>
      <c r="L118" s="2">
        <v>0</v>
      </c>
      <c r="M118" s="2">
        <v>0</v>
      </c>
      <c r="N118" s="2">
        <v>119055</v>
      </c>
      <c r="O118" s="2">
        <v>0</v>
      </c>
      <c r="P118" s="2">
        <f t="shared" si="17"/>
        <v>712903.79999999888</v>
      </c>
      <c r="Q118" s="9"/>
    </row>
    <row r="119" spans="2:17" x14ac:dyDescent="0.3">
      <c r="B119" s="17"/>
      <c r="C119" s="1" t="s">
        <v>114</v>
      </c>
      <c r="D119" s="2">
        <v>10000</v>
      </c>
      <c r="E119" s="2">
        <v>10000</v>
      </c>
      <c r="F119" s="2">
        <v>10000</v>
      </c>
      <c r="G119" s="2">
        <v>10000</v>
      </c>
      <c r="H119" s="2">
        <v>10000</v>
      </c>
      <c r="I119" s="2">
        <v>10000</v>
      </c>
      <c r="J119" s="2">
        <v>10000</v>
      </c>
      <c r="K119" s="2">
        <v>10000</v>
      </c>
      <c r="L119" s="2">
        <v>10000</v>
      </c>
      <c r="M119" s="2">
        <v>0</v>
      </c>
      <c r="N119" s="2">
        <v>0</v>
      </c>
      <c r="O119" s="2">
        <v>0</v>
      </c>
      <c r="P119" s="2">
        <f t="shared" si="17"/>
        <v>90000</v>
      </c>
      <c r="Q119" s="9"/>
    </row>
    <row r="120" spans="2:17" x14ac:dyDescent="0.3">
      <c r="B120" s="17"/>
      <c r="C120" s="1" t="s">
        <v>115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11260.799999999899</v>
      </c>
      <c r="J120" s="2">
        <v>0</v>
      </c>
      <c r="K120" s="2">
        <v>0</v>
      </c>
      <c r="L120" s="2">
        <v>0</v>
      </c>
      <c r="M120" s="2">
        <v>1942.2</v>
      </c>
      <c r="N120" s="2">
        <v>7834.8</v>
      </c>
      <c r="O120" s="2">
        <v>0</v>
      </c>
      <c r="P120" s="2">
        <f t="shared" si="17"/>
        <v>21037.799999999901</v>
      </c>
      <c r="Q120" s="9"/>
    </row>
    <row r="121" spans="2:17" x14ac:dyDescent="0.3">
      <c r="B121" s="6"/>
      <c r="C121" s="6" t="s">
        <v>116</v>
      </c>
      <c r="D121" s="7">
        <f t="shared" ref="D121:P121" si="18">SUM(D122:D123)</f>
        <v>0</v>
      </c>
      <c r="E121" s="7">
        <f t="shared" si="18"/>
        <v>0</v>
      </c>
      <c r="F121" s="7">
        <f t="shared" si="18"/>
        <v>0</v>
      </c>
      <c r="G121" s="7">
        <f t="shared" si="18"/>
        <v>0</v>
      </c>
      <c r="H121" s="7">
        <f t="shared" si="18"/>
        <v>0</v>
      </c>
      <c r="I121" s="7">
        <f t="shared" si="18"/>
        <v>0</v>
      </c>
      <c r="J121" s="7">
        <f t="shared" si="18"/>
        <v>0</v>
      </c>
      <c r="K121" s="7">
        <f t="shared" si="18"/>
        <v>0</v>
      </c>
      <c r="L121" s="7">
        <f t="shared" si="18"/>
        <v>692.62</v>
      </c>
      <c r="M121" s="7">
        <f t="shared" si="18"/>
        <v>0</v>
      </c>
      <c r="N121" s="7">
        <f t="shared" si="18"/>
        <v>0</v>
      </c>
      <c r="O121" s="7">
        <f t="shared" si="18"/>
        <v>81341.039999999906</v>
      </c>
      <c r="P121" s="7">
        <f t="shared" si="18"/>
        <v>82033.659999999902</v>
      </c>
    </row>
    <row r="122" spans="2:17" x14ac:dyDescent="0.3">
      <c r="B122" s="17" t="s">
        <v>122</v>
      </c>
      <c r="C122" s="1" t="s">
        <v>117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81341.039999999906</v>
      </c>
      <c r="P122" s="2">
        <f>SUM(D122:O122)</f>
        <v>81341.039999999906</v>
      </c>
      <c r="Q122" s="9"/>
    </row>
    <row r="123" spans="2:17" x14ac:dyDescent="0.3">
      <c r="B123" s="17"/>
      <c r="C123" s="1" t="s">
        <v>118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692.62</v>
      </c>
      <c r="M123" s="2">
        <v>0</v>
      </c>
      <c r="N123" s="2">
        <v>0</v>
      </c>
      <c r="O123" s="2">
        <v>0</v>
      </c>
      <c r="P123" s="2">
        <f>SUM(D123:O123)</f>
        <v>692.62</v>
      </c>
      <c r="Q123" s="9"/>
    </row>
    <row r="124" spans="2:17" x14ac:dyDescent="0.3">
      <c r="C124" s="6" t="s">
        <v>1</v>
      </c>
      <c r="D124" s="7">
        <f>+D5+D17+D39+D50+D58+D72+D85+D100+D109+D121</f>
        <v>13155210.239999972</v>
      </c>
      <c r="E124" s="7">
        <f t="shared" ref="E124:P124" si="19">+E5+E17+E39+E50+E58+E72+E85+E100+E109+E121</f>
        <v>16704669.689999992</v>
      </c>
      <c r="F124" s="7">
        <f t="shared" si="19"/>
        <v>12025517.78999998</v>
      </c>
      <c r="G124" s="7">
        <f t="shared" si="19"/>
        <v>14655053.259999987</v>
      </c>
      <c r="H124" s="7">
        <f t="shared" si="19"/>
        <v>12011634.749999993</v>
      </c>
      <c r="I124" s="7">
        <f t="shared" si="19"/>
        <v>19579481.799999967</v>
      </c>
      <c r="J124" s="7">
        <f t="shared" si="19"/>
        <v>20963743.079999983</v>
      </c>
      <c r="K124" s="7">
        <f t="shared" si="19"/>
        <v>16229959.359999983</v>
      </c>
      <c r="L124" s="7">
        <f t="shared" si="19"/>
        <v>21358799.429999974</v>
      </c>
      <c r="M124" s="7">
        <f t="shared" si="19"/>
        <v>21256942.73999998</v>
      </c>
      <c r="N124" s="7">
        <f t="shared" si="19"/>
        <v>17161342.209999971</v>
      </c>
      <c r="O124" s="7">
        <f t="shared" si="19"/>
        <v>21303013.859999962</v>
      </c>
      <c r="P124" s="7">
        <f t="shared" si="19"/>
        <v>206405368.20999977</v>
      </c>
    </row>
    <row r="125" spans="2:17" x14ac:dyDescent="0.3">
      <c r="P125" s="8">
        <f>+[1]RESUMEN!$H$31</f>
        <v>206405368.20999974</v>
      </c>
    </row>
    <row r="126" spans="2:17" x14ac:dyDescent="0.3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</sheetData>
  <mergeCells count="12">
    <mergeCell ref="B110:B120"/>
    <mergeCell ref="B122:B123"/>
    <mergeCell ref="B51:B57"/>
    <mergeCell ref="B59:B71"/>
    <mergeCell ref="B73:B84"/>
    <mergeCell ref="B86:B99"/>
    <mergeCell ref="B101:B108"/>
    <mergeCell ref="B4:B5"/>
    <mergeCell ref="B6:B16"/>
    <mergeCell ref="B18:B38"/>
    <mergeCell ref="B40:B49"/>
    <mergeCell ref="B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5242-5CC7-4A1A-86A8-44A1FD7C3F33}">
  <dimension ref="B1:Q135"/>
  <sheetViews>
    <sheetView tabSelected="1" workbookViewId="0">
      <pane xSplit="3" ySplit="5" topLeftCell="D51" activePane="bottomRight" state="frozen"/>
      <selection activeCell="C68" sqref="C68:P68"/>
      <selection pane="topRight" activeCell="C68" sqref="C68:P68"/>
      <selection pane="bottomLeft" activeCell="C68" sqref="C68:P68"/>
      <selection pane="bottomRight" activeCell="C117" sqref="C117"/>
    </sheetView>
  </sheetViews>
  <sheetFormatPr baseColWidth="10" defaultRowHeight="14.4" x14ac:dyDescent="0.3"/>
  <cols>
    <col min="2" max="2" width="14.33203125" customWidth="1"/>
    <col min="3" max="3" width="64.5546875" bestFit="1" customWidth="1"/>
    <col min="4" max="4" width="15" customWidth="1"/>
    <col min="5" max="6" width="15" bestFit="1" customWidth="1"/>
    <col min="7" max="15" width="15" customWidth="1"/>
    <col min="16" max="16" width="16.109375" bestFit="1" customWidth="1"/>
    <col min="17" max="17" width="15" bestFit="1" customWidth="1"/>
    <col min="18" max="18" width="14" bestFit="1" customWidth="1"/>
  </cols>
  <sheetData>
    <row r="1" spans="2:17" x14ac:dyDescent="0.3">
      <c r="F1" s="8"/>
    </row>
    <row r="2" spans="2:17" x14ac:dyDescent="0.3">
      <c r="B2" s="18" t="s">
        <v>132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4" spans="2:17" x14ac:dyDescent="0.3">
      <c r="B4" s="16" t="s">
        <v>121</v>
      </c>
      <c r="C4" s="3" t="s">
        <v>0</v>
      </c>
      <c r="D4" s="4">
        <v>46023</v>
      </c>
      <c r="E4" s="4">
        <v>46054</v>
      </c>
      <c r="F4" s="4">
        <v>46082</v>
      </c>
      <c r="G4" s="4">
        <v>46113</v>
      </c>
      <c r="H4" s="4">
        <v>46143</v>
      </c>
      <c r="I4" s="4">
        <v>46174</v>
      </c>
      <c r="J4" s="4">
        <v>46204</v>
      </c>
      <c r="K4" s="4">
        <v>46235</v>
      </c>
      <c r="L4" s="4">
        <v>46266</v>
      </c>
      <c r="M4" s="4">
        <v>46296</v>
      </c>
      <c r="N4" s="4">
        <v>46327</v>
      </c>
      <c r="O4" s="4">
        <v>46357</v>
      </c>
      <c r="P4" s="5" t="s">
        <v>1</v>
      </c>
    </row>
    <row r="5" spans="2:17" x14ac:dyDescent="0.3">
      <c r="B5" s="16"/>
      <c r="C5" s="6" t="s">
        <v>145</v>
      </c>
      <c r="D5" s="7">
        <f>SUM(D6:D16)</f>
        <v>46544.699999999801</v>
      </c>
      <c r="E5" s="7">
        <f t="shared" ref="E5:P5" si="0">SUM(E6:E16)</f>
        <v>510239.6899999989</v>
      </c>
      <c r="F5" s="7">
        <f t="shared" si="0"/>
        <v>1412535.859999998</v>
      </c>
      <c r="G5" s="7">
        <f t="shared" si="0"/>
        <v>0</v>
      </c>
      <c r="H5" s="7">
        <f t="shared" si="0"/>
        <v>0</v>
      </c>
      <c r="I5" s="7">
        <f t="shared" si="0"/>
        <v>0</v>
      </c>
      <c r="J5" s="7">
        <f t="shared" si="0"/>
        <v>0</v>
      </c>
      <c r="K5" s="7">
        <f t="shared" si="0"/>
        <v>0</v>
      </c>
      <c r="L5" s="7">
        <f t="shared" si="0"/>
        <v>0</v>
      </c>
      <c r="M5" s="7">
        <f t="shared" si="0"/>
        <v>0</v>
      </c>
      <c r="N5" s="7">
        <f t="shared" si="0"/>
        <v>0</v>
      </c>
      <c r="O5" s="7">
        <f t="shared" si="0"/>
        <v>0</v>
      </c>
      <c r="P5" s="7">
        <f t="shared" si="0"/>
        <v>1969320.2499999965</v>
      </c>
    </row>
    <row r="6" spans="2:17" x14ac:dyDescent="0.3">
      <c r="B6" s="17" t="s">
        <v>131</v>
      </c>
      <c r="C6" s="1" t="s">
        <v>3</v>
      </c>
      <c r="D6" s="2">
        <v>0</v>
      </c>
      <c r="E6" s="2">
        <f>+'[2](Reactivos)'!$E$81</f>
        <v>42730.8</v>
      </c>
      <c r="F6" s="2">
        <f>38700.669999999+293223.63</f>
        <v>331924.299999999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f>SUM(D6:O6)</f>
        <v>374655.09999999899</v>
      </c>
      <c r="Q6" s="9"/>
    </row>
    <row r="7" spans="2:17" x14ac:dyDescent="0.3">
      <c r="B7" s="17"/>
      <c r="C7" s="1" t="s">
        <v>4</v>
      </c>
      <c r="D7" s="2">
        <f>+'[3](Reactivos)'!$D$77</f>
        <v>5329.8</v>
      </c>
      <c r="E7" s="2">
        <f>+'[2](Reactivos)'!$E$82</f>
        <v>1510.5999999999899</v>
      </c>
      <c r="F7" s="2">
        <v>3021.1999999999898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f t="shared" ref="P7:P16" si="1">SUM(D7:O7)</f>
        <v>9861.5999999999804</v>
      </c>
      <c r="Q7" s="9"/>
    </row>
    <row r="8" spans="2:17" x14ac:dyDescent="0.3">
      <c r="B8" s="17"/>
      <c r="C8" s="1" t="s">
        <v>5</v>
      </c>
      <c r="D8" s="2">
        <v>0</v>
      </c>
      <c r="E8" s="2">
        <f>+'[2](Reactivos)'!$E$83</f>
        <v>94573.8</v>
      </c>
      <c r="F8" s="2">
        <v>85041.600000000006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f t="shared" si="1"/>
        <v>179615.40000000002</v>
      </c>
      <c r="Q8" s="9"/>
    </row>
    <row r="9" spans="2:17" x14ac:dyDescent="0.3">
      <c r="B9" s="17"/>
      <c r="C9" s="1" t="s">
        <v>6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f t="shared" si="1"/>
        <v>0</v>
      </c>
      <c r="Q9" s="9"/>
    </row>
    <row r="10" spans="2:17" x14ac:dyDescent="0.3">
      <c r="B10" s="17"/>
      <c r="C10" s="1" t="s">
        <v>7</v>
      </c>
      <c r="D10" s="2">
        <v>0</v>
      </c>
      <c r="E10" s="2">
        <f>+'[2](Reactivos)'!$E$85</f>
        <v>18128.6899999999</v>
      </c>
      <c r="F10" s="2">
        <v>118977.96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f t="shared" si="1"/>
        <v>137106.64999999991</v>
      </c>
      <c r="Q10" s="9"/>
    </row>
    <row r="11" spans="2:17" x14ac:dyDescent="0.3">
      <c r="B11" s="17"/>
      <c r="C11" s="1" t="s">
        <v>8</v>
      </c>
      <c r="D11" s="2">
        <v>0</v>
      </c>
      <c r="E11" s="2">
        <f>+'[2](Reactivos)'!$E$86</f>
        <v>15785.4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f t="shared" si="1"/>
        <v>15785.4</v>
      </c>
      <c r="Q11" s="9"/>
    </row>
    <row r="12" spans="2:17" x14ac:dyDescent="0.3">
      <c r="B12" s="17"/>
      <c r="C12" s="1" t="s">
        <v>9</v>
      </c>
      <c r="D12" s="2">
        <f>+'[3](Reactivos)'!$D$82</f>
        <v>22660.299999999901</v>
      </c>
      <c r="E12" s="2">
        <f>+'[2](Reactivos)'!$E$87</f>
        <v>34319.300000000003</v>
      </c>
      <c r="F12" s="2">
        <v>23517.5999999999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f t="shared" si="1"/>
        <v>80497.199999999808</v>
      </c>
      <c r="Q12" s="9"/>
    </row>
    <row r="13" spans="2:17" x14ac:dyDescent="0.3">
      <c r="B13" s="17"/>
      <c r="C13" s="1" t="s">
        <v>10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f t="shared" si="1"/>
        <v>0</v>
      </c>
      <c r="Q13" s="9"/>
    </row>
    <row r="14" spans="2:17" x14ac:dyDescent="0.3">
      <c r="B14" s="17"/>
      <c r="C14" s="1" t="s">
        <v>11</v>
      </c>
      <c r="D14" s="2">
        <f>+'[3](Reactivos)'!$D$88</f>
        <v>18554.5999999999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f t="shared" si="1"/>
        <v>18554.5999999999</v>
      </c>
      <c r="Q14" s="9"/>
    </row>
    <row r="15" spans="2:17" x14ac:dyDescent="0.3">
      <c r="B15" s="17"/>
      <c r="C15" s="1" t="s">
        <v>12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f t="shared" si="1"/>
        <v>0</v>
      </c>
      <c r="Q15" s="9"/>
    </row>
    <row r="16" spans="2:17" x14ac:dyDescent="0.3">
      <c r="B16" s="17"/>
      <c r="C16" s="1" t="s">
        <v>13</v>
      </c>
      <c r="D16" s="2">
        <v>0</v>
      </c>
      <c r="E16" s="2">
        <f>+'[2](Reactivos)'!$E$98</f>
        <v>303191.09999999899</v>
      </c>
      <c r="F16" s="2">
        <v>850053.19999999902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f t="shared" si="1"/>
        <v>1153244.299999998</v>
      </c>
      <c r="Q16" s="9"/>
    </row>
    <row r="17" spans="2:17" x14ac:dyDescent="0.3">
      <c r="B17" s="6"/>
      <c r="C17" s="6" t="s">
        <v>146</v>
      </c>
      <c r="D17" s="7">
        <f>SUM(D18:D39)</f>
        <v>1384419.7549999994</v>
      </c>
      <c r="E17" s="7">
        <f t="shared" ref="E17:O17" si="2">SUM(E18:E39)</f>
        <v>2453472.2649999899</v>
      </c>
      <c r="F17" s="7">
        <f t="shared" si="2"/>
        <v>3471364.7399999984</v>
      </c>
      <c r="G17" s="7">
        <f t="shared" si="2"/>
        <v>0</v>
      </c>
      <c r="H17" s="7">
        <f t="shared" si="2"/>
        <v>0</v>
      </c>
      <c r="I17" s="7">
        <f t="shared" si="2"/>
        <v>0</v>
      </c>
      <c r="J17" s="7">
        <f t="shared" si="2"/>
        <v>0</v>
      </c>
      <c r="K17" s="7">
        <f t="shared" si="2"/>
        <v>0</v>
      </c>
      <c r="L17" s="7">
        <f t="shared" si="2"/>
        <v>0</v>
      </c>
      <c r="M17" s="7">
        <f t="shared" si="2"/>
        <v>0</v>
      </c>
      <c r="N17" s="7">
        <f t="shared" si="2"/>
        <v>0</v>
      </c>
      <c r="O17" s="7">
        <f t="shared" si="2"/>
        <v>0</v>
      </c>
      <c r="P17" s="7">
        <f>SUM(P18:P39)</f>
        <v>7309256.7599999867</v>
      </c>
      <c r="Q17" s="8"/>
    </row>
    <row r="18" spans="2:17" x14ac:dyDescent="0.3">
      <c r="B18" s="17" t="s">
        <v>123</v>
      </c>
      <c r="C18" s="1" t="s">
        <v>15</v>
      </c>
      <c r="D18" s="2">
        <f>+'[3](Reactivos)'!$D$95</f>
        <v>38710.76</v>
      </c>
      <c r="E18" s="2">
        <f>+'[2](Reactivos)'!$E$100</f>
        <v>58162.82</v>
      </c>
      <c r="F18" s="2">
        <v>40466.47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f>SUM(D18:O18)</f>
        <v>137340.04999999999</v>
      </c>
      <c r="Q18" s="9"/>
    </row>
    <row r="19" spans="2:17" x14ac:dyDescent="0.3">
      <c r="B19" s="17"/>
      <c r="C19" s="1" t="s">
        <v>16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f t="shared" ref="P19:P39" si="3">SUM(D19:O19)</f>
        <v>0</v>
      </c>
      <c r="Q19" s="9"/>
    </row>
    <row r="20" spans="2:17" x14ac:dyDescent="0.3">
      <c r="B20" s="17"/>
      <c r="C20" s="1" t="s">
        <v>17</v>
      </c>
      <c r="D20" s="2">
        <f>+'[3](Reactivos)'!$D$97</f>
        <v>112056.5</v>
      </c>
      <c r="E20" s="2">
        <f>+'[2](Reactivos)'!$E$102</f>
        <v>59003.9</v>
      </c>
      <c r="F20" s="2">
        <v>79350.8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f t="shared" si="3"/>
        <v>250411.2</v>
      </c>
      <c r="Q20" s="9"/>
    </row>
    <row r="21" spans="2:17" x14ac:dyDescent="0.3">
      <c r="B21" s="17"/>
      <c r="C21" s="1" t="s">
        <v>18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f t="shared" si="3"/>
        <v>0</v>
      </c>
      <c r="Q21" s="9"/>
    </row>
    <row r="22" spans="2:17" x14ac:dyDescent="0.3">
      <c r="B22" s="17"/>
      <c r="C22" s="1" t="s">
        <v>19</v>
      </c>
      <c r="D22" s="2">
        <f>+'[3](Reactivos)'!$D$99</f>
        <v>119072.85</v>
      </c>
      <c r="E22" s="2">
        <f>+'[2](Reactivos)'!$E$103</f>
        <v>25238.8499999999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f t="shared" si="3"/>
        <v>144311.6999999999</v>
      </c>
      <c r="Q22" s="9"/>
    </row>
    <row r="23" spans="2:17" x14ac:dyDescent="0.3">
      <c r="B23" s="17"/>
      <c r="C23" s="1" t="s">
        <v>20</v>
      </c>
      <c r="D23" s="2">
        <v>0</v>
      </c>
      <c r="E23" s="2">
        <f>+'[2](Reactivos)'!$E$107</f>
        <v>207912.799999999</v>
      </c>
      <c r="F23" s="2">
        <v>221355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f t="shared" si="3"/>
        <v>429267.799999999</v>
      </c>
      <c r="Q23" s="9"/>
    </row>
    <row r="24" spans="2:17" x14ac:dyDescent="0.3">
      <c r="B24" s="17"/>
      <c r="C24" s="1" t="s">
        <v>21</v>
      </c>
      <c r="D24" s="2">
        <f>+'[3](Reactivos)'!$D$106</f>
        <v>36818.099999999897</v>
      </c>
      <c r="E24" s="2">
        <f>+'[2](Reactivos)'!$E$110</f>
        <v>19248</v>
      </c>
      <c r="F24" s="2">
        <v>20383.799999999901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f t="shared" si="3"/>
        <v>76449.89999999979</v>
      </c>
      <c r="Q24" s="9"/>
    </row>
    <row r="25" spans="2:17" x14ac:dyDescent="0.3">
      <c r="B25" s="17"/>
      <c r="C25" s="1" t="s">
        <v>22</v>
      </c>
      <c r="D25" s="2">
        <f>+'[3](Reactivos)'!$D$109</f>
        <v>30000</v>
      </c>
      <c r="E25" s="2">
        <f>+'[2](Reactivos)'!$E$112</f>
        <v>78210.899999999907</v>
      </c>
      <c r="F25" s="2">
        <v>72963.5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f t="shared" si="3"/>
        <v>181174.39999999991</v>
      </c>
      <c r="Q25" s="9"/>
    </row>
    <row r="26" spans="2:17" x14ac:dyDescent="0.3">
      <c r="B26" s="17"/>
      <c r="C26" s="1" t="s">
        <v>23</v>
      </c>
      <c r="D26" s="2">
        <f>+'[3](Reactivos)'!$D$110</f>
        <v>47582</v>
      </c>
      <c r="E26" s="2">
        <f>+'[2](Reactivos)'!$E$113</f>
        <v>46473.01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f t="shared" si="3"/>
        <v>94055.010000000009</v>
      </c>
      <c r="Q26" s="9"/>
    </row>
    <row r="27" spans="2:17" x14ac:dyDescent="0.3">
      <c r="B27" s="17"/>
      <c r="C27" s="1" t="s">
        <v>24</v>
      </c>
      <c r="D27" s="2">
        <v>0</v>
      </c>
      <c r="E27" s="2">
        <v>0</v>
      </c>
      <c r="F27" s="2">
        <v>17479.799999999901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f t="shared" si="3"/>
        <v>17479.799999999901</v>
      </c>
      <c r="Q27" s="9"/>
    </row>
    <row r="28" spans="2:17" x14ac:dyDescent="0.3">
      <c r="B28" s="17"/>
      <c r="C28" s="1" t="s">
        <v>25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f t="shared" si="3"/>
        <v>0</v>
      </c>
      <c r="Q28" s="9"/>
    </row>
    <row r="29" spans="2:17" x14ac:dyDescent="0.3">
      <c r="B29" s="17"/>
      <c r="C29" s="1" t="s">
        <v>156</v>
      </c>
      <c r="D29" s="2">
        <v>0</v>
      </c>
      <c r="E29" s="2">
        <v>0</v>
      </c>
      <c r="F29" s="2">
        <v>246880.2</v>
      </c>
      <c r="G29" s="2"/>
      <c r="H29" s="2"/>
      <c r="I29" s="2"/>
      <c r="J29" s="2"/>
      <c r="K29" s="2"/>
      <c r="L29" s="2"/>
      <c r="M29" s="2"/>
      <c r="N29" s="2"/>
      <c r="O29" s="2"/>
      <c r="P29" s="2">
        <f t="shared" si="3"/>
        <v>246880.2</v>
      </c>
      <c r="Q29" s="9"/>
    </row>
    <row r="30" spans="2:17" x14ac:dyDescent="0.3">
      <c r="B30" s="17"/>
      <c r="C30" s="1" t="s">
        <v>26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f t="shared" si="3"/>
        <v>0</v>
      </c>
      <c r="Q30" s="9"/>
    </row>
    <row r="31" spans="2:17" x14ac:dyDescent="0.3">
      <c r="B31" s="17"/>
      <c r="C31" s="1" t="s">
        <v>27</v>
      </c>
      <c r="D31" s="2">
        <f>+'[3](Reactivos)'!$D$118</f>
        <v>15576.4</v>
      </c>
      <c r="E31" s="2">
        <v>0</v>
      </c>
      <c r="F31" s="2">
        <v>29250.2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f t="shared" si="3"/>
        <v>44826.6</v>
      </c>
      <c r="Q31" s="9"/>
    </row>
    <row r="32" spans="2:17" x14ac:dyDescent="0.3">
      <c r="B32" s="17"/>
      <c r="C32" s="1" t="s">
        <v>28</v>
      </c>
      <c r="D32" s="2">
        <f>+'[3](Reactivos)'!$D$119</f>
        <v>15516.799999999899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f t="shared" si="3"/>
        <v>15516.799999999899</v>
      </c>
      <c r="Q32" s="9"/>
    </row>
    <row r="33" spans="2:17" x14ac:dyDescent="0.3">
      <c r="B33" s="17"/>
      <c r="C33" s="1" t="s">
        <v>29</v>
      </c>
      <c r="D33" s="2">
        <f>+'[3](Reactivos)'!$D$120</f>
        <v>214821.6</v>
      </c>
      <c r="E33" s="2">
        <f>+'[2](Reactivos)'!$E$120</f>
        <v>218118.299999999</v>
      </c>
      <c r="F33" s="2">
        <v>478531.2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f t="shared" si="3"/>
        <v>911471.09999999893</v>
      </c>
      <c r="Q33" s="9"/>
    </row>
    <row r="34" spans="2:17" x14ac:dyDescent="0.3">
      <c r="B34" s="17"/>
      <c r="C34" s="1" t="s">
        <v>119</v>
      </c>
      <c r="D34" s="2">
        <f>+'[3](Reactivos)'!$D$122</f>
        <v>69791.8</v>
      </c>
      <c r="E34" s="2">
        <f>+'[2](Reactivos)'!$E$122</f>
        <v>57729.449999999903</v>
      </c>
      <c r="F34" s="2">
        <v>77254.449999999895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f t="shared" si="3"/>
        <v>204775.69999999981</v>
      </c>
      <c r="Q34" s="9"/>
    </row>
    <row r="35" spans="2:17" x14ac:dyDescent="0.3">
      <c r="B35" s="17"/>
      <c r="C35" s="1" t="s">
        <v>30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f t="shared" si="3"/>
        <v>0</v>
      </c>
      <c r="Q35" s="9"/>
    </row>
    <row r="36" spans="2:17" x14ac:dyDescent="0.3">
      <c r="B36" s="17"/>
      <c r="C36" s="1" t="s">
        <v>31</v>
      </c>
      <c r="D36" s="2">
        <f>+'[3](Reactivos)'!$D$124</f>
        <v>33300.050000000003</v>
      </c>
      <c r="E36" s="2">
        <f>+'[2](Reactivos)'!$E$124</f>
        <v>40181.65</v>
      </c>
      <c r="F36" s="2">
        <v>26789.799999999901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f t="shared" si="3"/>
        <v>100271.49999999991</v>
      </c>
      <c r="Q36" s="9"/>
    </row>
    <row r="37" spans="2:17" x14ac:dyDescent="0.3">
      <c r="B37" s="17"/>
      <c r="C37" s="1" t="s">
        <v>32</v>
      </c>
      <c r="D37" s="2">
        <f>+'[3](Reactivos)'!$D$125</f>
        <v>42582.15</v>
      </c>
      <c r="E37" s="2">
        <f>+'[2](Reactivos)'!$E$125</f>
        <v>126159.899999999</v>
      </c>
      <c r="F37" s="2">
        <f>591299.909999999+379365.91</f>
        <v>970665.8199999989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f t="shared" si="3"/>
        <v>1139407.8699999978</v>
      </c>
      <c r="Q37" s="9"/>
    </row>
    <row r="38" spans="2:17" x14ac:dyDescent="0.3">
      <c r="B38" s="17"/>
      <c r="C38" s="1" t="s">
        <v>33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f t="shared" si="3"/>
        <v>0</v>
      </c>
      <c r="Q38" s="9"/>
    </row>
    <row r="39" spans="2:17" x14ac:dyDescent="0.3">
      <c r="B39" s="17"/>
      <c r="C39" s="1" t="s">
        <v>34</v>
      </c>
      <c r="D39" s="2">
        <f>+'[3](Reactivos)'!$D$127</f>
        <v>608590.74499999941</v>
      </c>
      <c r="E39" s="2">
        <f>+'[2](Reactivos)'!$E$127</f>
        <v>1517032.6849999931</v>
      </c>
      <c r="F39" s="2">
        <v>1189993.7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f t="shared" si="3"/>
        <v>3315617.1299999924</v>
      </c>
      <c r="Q39" s="9"/>
    </row>
    <row r="40" spans="2:17" x14ac:dyDescent="0.3">
      <c r="B40" s="6"/>
      <c r="C40" s="6" t="s">
        <v>149</v>
      </c>
      <c r="D40" s="7">
        <f>SUM(D41:D52)</f>
        <v>285497.18999999959</v>
      </c>
      <c r="E40" s="7">
        <f>SUM(E41:E52)</f>
        <v>511771.00999999885</v>
      </c>
      <c r="F40" s="7">
        <f t="shared" ref="F40:O40" si="4">SUM(F41:F52)</f>
        <v>413795.50999999983</v>
      </c>
      <c r="G40" s="7">
        <f t="shared" si="4"/>
        <v>0</v>
      </c>
      <c r="H40" s="7">
        <f t="shared" si="4"/>
        <v>0</v>
      </c>
      <c r="I40" s="7">
        <f t="shared" si="4"/>
        <v>0</v>
      </c>
      <c r="J40" s="7">
        <f t="shared" si="4"/>
        <v>0</v>
      </c>
      <c r="K40" s="7">
        <f t="shared" si="4"/>
        <v>0</v>
      </c>
      <c r="L40" s="7">
        <f t="shared" si="4"/>
        <v>0</v>
      </c>
      <c r="M40" s="7">
        <f t="shared" si="4"/>
        <v>0</v>
      </c>
      <c r="N40" s="7">
        <f t="shared" si="4"/>
        <v>0</v>
      </c>
      <c r="O40" s="7">
        <f t="shared" si="4"/>
        <v>0</v>
      </c>
      <c r="P40" s="7">
        <f>SUM(P41:P52)</f>
        <v>1211063.7099999983</v>
      </c>
    </row>
    <row r="41" spans="2:17" x14ac:dyDescent="0.3">
      <c r="B41" s="17" t="s">
        <v>124</v>
      </c>
      <c r="C41" s="1" t="s">
        <v>36</v>
      </c>
      <c r="D41" s="2">
        <v>0</v>
      </c>
      <c r="E41" s="2">
        <v>25623.049999999901</v>
      </c>
      <c r="F41" s="2">
        <v>17637.0999999999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f t="shared" ref="P41:P51" si="5">SUM(D41:O41)</f>
        <v>43260.149999999805</v>
      </c>
      <c r="Q41" s="9"/>
    </row>
    <row r="42" spans="2:17" x14ac:dyDescent="0.3">
      <c r="B42" s="17"/>
      <c r="C42" s="1" t="s">
        <v>37</v>
      </c>
      <c r="D42" s="2">
        <v>15028.2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f t="shared" si="5"/>
        <v>15028.2</v>
      </c>
      <c r="Q42" s="9"/>
    </row>
    <row r="43" spans="2:17" x14ac:dyDescent="0.3">
      <c r="B43" s="17"/>
      <c r="C43" s="1" t="s">
        <v>38</v>
      </c>
      <c r="D43" s="2">
        <v>42517.639999999898</v>
      </c>
      <c r="E43" s="2">
        <v>40494.68</v>
      </c>
      <c r="F43" s="2">
        <v>45091.360000000001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f t="shared" si="5"/>
        <v>128103.67999999989</v>
      </c>
      <c r="Q43" s="9"/>
    </row>
    <row r="44" spans="2:17" x14ac:dyDescent="0.3">
      <c r="B44" s="17"/>
      <c r="C44" s="1" t="s">
        <v>39</v>
      </c>
      <c r="D44" s="2">
        <v>67147.199999999895</v>
      </c>
      <c r="E44" s="2">
        <v>265664.97999999899</v>
      </c>
      <c r="F44" s="2">
        <v>116651.28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f t="shared" si="5"/>
        <v>449463.45999999892</v>
      </c>
      <c r="Q44" s="9"/>
    </row>
    <row r="45" spans="2:17" x14ac:dyDescent="0.3">
      <c r="B45" s="17"/>
      <c r="C45" s="1" t="s">
        <v>40</v>
      </c>
      <c r="D45" s="2">
        <v>0</v>
      </c>
      <c r="E45" s="2">
        <v>31609.200000000001</v>
      </c>
      <c r="F45" s="2">
        <v>20104.369999999901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f t="shared" si="5"/>
        <v>51713.569999999905</v>
      </c>
      <c r="Q45" s="9"/>
    </row>
    <row r="46" spans="2:17" x14ac:dyDescent="0.3">
      <c r="B46" s="17"/>
      <c r="C46" s="1" t="s">
        <v>11</v>
      </c>
      <c r="D46" s="2">
        <v>0</v>
      </c>
      <c r="E46" s="2">
        <v>63074.25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f t="shared" si="5"/>
        <v>63074.25</v>
      </c>
      <c r="Q46" s="9"/>
    </row>
    <row r="47" spans="2:17" x14ac:dyDescent="0.3">
      <c r="B47" s="17"/>
      <c r="C47" s="1" t="s">
        <v>41</v>
      </c>
      <c r="D47" s="2">
        <v>61260.349999999897</v>
      </c>
      <c r="E47" s="2">
        <v>30944.65</v>
      </c>
      <c r="F47" s="2">
        <v>35003.65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f t="shared" si="5"/>
        <v>127208.64999999991</v>
      </c>
      <c r="Q47" s="9"/>
    </row>
    <row r="48" spans="2:17" x14ac:dyDescent="0.3">
      <c r="B48" s="17"/>
      <c r="C48" s="1" t="s">
        <v>42</v>
      </c>
      <c r="D48" s="2">
        <v>17975.75</v>
      </c>
      <c r="E48" s="2">
        <v>15767.7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f t="shared" si="5"/>
        <v>33743.449999999997</v>
      </c>
      <c r="Q48" s="9"/>
    </row>
    <row r="49" spans="2:17" x14ac:dyDescent="0.3">
      <c r="B49" s="17"/>
      <c r="C49" s="1" t="s">
        <v>43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f t="shared" si="5"/>
        <v>0</v>
      </c>
      <c r="Q49" s="9"/>
    </row>
    <row r="50" spans="2:17" x14ac:dyDescent="0.3">
      <c r="B50" s="17"/>
      <c r="C50" s="1" t="s">
        <v>44</v>
      </c>
      <c r="D50" s="2">
        <v>51182.25</v>
      </c>
      <c r="E50" s="2">
        <v>23588.7</v>
      </c>
      <c r="F50" s="2">
        <f>58997.45+57660</f>
        <v>116657.45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f t="shared" si="5"/>
        <v>191428.4</v>
      </c>
      <c r="Q50" s="9"/>
    </row>
    <row r="51" spans="2:17" x14ac:dyDescent="0.3">
      <c r="B51" s="17"/>
      <c r="C51" s="1" t="s">
        <v>45</v>
      </c>
      <c r="D51" s="2">
        <v>30385.799999999901</v>
      </c>
      <c r="E51" s="2">
        <v>0</v>
      </c>
      <c r="F51" s="2">
        <v>28109.4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f t="shared" si="5"/>
        <v>58495.199999999903</v>
      </c>
      <c r="Q51" s="9"/>
    </row>
    <row r="52" spans="2:17" x14ac:dyDescent="0.3">
      <c r="B52" s="10"/>
      <c r="C52" s="1" t="s">
        <v>137</v>
      </c>
      <c r="D52" s="2">
        <v>0</v>
      </c>
      <c r="E52" s="2">
        <v>15003.799999999899</v>
      </c>
      <c r="F52" s="2">
        <v>34540.9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f t="shared" ref="P52" si="6">SUM(D52:O52)</f>
        <v>49544.699999999903</v>
      </c>
      <c r="Q52" s="9"/>
    </row>
    <row r="53" spans="2:17" x14ac:dyDescent="0.3">
      <c r="B53" s="6"/>
      <c r="C53" s="6" t="s">
        <v>157</v>
      </c>
      <c r="D53" s="7">
        <f t="shared" ref="D53:P53" si="7">SUM(D54:D60)</f>
        <v>1524275.77</v>
      </c>
      <c r="E53" s="7">
        <f t="shared" si="7"/>
        <v>1588220.4599999979</v>
      </c>
      <c r="F53" s="7">
        <f t="shared" si="7"/>
        <v>1587029.4499999981</v>
      </c>
      <c r="G53" s="7">
        <f t="shared" si="7"/>
        <v>0</v>
      </c>
      <c r="H53" s="7">
        <f t="shared" si="7"/>
        <v>0</v>
      </c>
      <c r="I53" s="7">
        <f t="shared" si="7"/>
        <v>0</v>
      </c>
      <c r="J53" s="7">
        <f t="shared" si="7"/>
        <v>0</v>
      </c>
      <c r="K53" s="7">
        <f t="shared" si="7"/>
        <v>0</v>
      </c>
      <c r="L53" s="7">
        <f t="shared" si="7"/>
        <v>0</v>
      </c>
      <c r="M53" s="7">
        <f t="shared" si="7"/>
        <v>0</v>
      </c>
      <c r="N53" s="7">
        <f t="shared" si="7"/>
        <v>0</v>
      </c>
      <c r="O53" s="7">
        <f t="shared" si="7"/>
        <v>0</v>
      </c>
      <c r="P53" s="7">
        <f t="shared" si="7"/>
        <v>4699525.679999996</v>
      </c>
    </row>
    <row r="54" spans="2:17" x14ac:dyDescent="0.3">
      <c r="B54" s="17" t="s">
        <v>138</v>
      </c>
      <c r="C54" s="1" t="s">
        <v>47</v>
      </c>
      <c r="D54" s="2">
        <v>535248.67000000004</v>
      </c>
      <c r="E54" s="2">
        <v>732938.32999999903</v>
      </c>
      <c r="F54" s="2">
        <v>575122.08999999904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f t="shared" ref="P54:P60" si="8">SUM(D54:O54)</f>
        <v>1843309.089999998</v>
      </c>
      <c r="Q54" s="9"/>
    </row>
    <row r="55" spans="2:17" x14ac:dyDescent="0.3">
      <c r="B55" s="17"/>
      <c r="C55" s="1" t="s">
        <v>48</v>
      </c>
      <c r="D55" s="2">
        <v>208722.5</v>
      </c>
      <c r="E55" s="2">
        <v>168143.2</v>
      </c>
      <c r="F55" s="2">
        <v>135698.47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f t="shared" si="8"/>
        <v>512564.17000000004</v>
      </c>
      <c r="Q55" s="9"/>
    </row>
    <row r="56" spans="2:17" x14ac:dyDescent="0.3">
      <c r="B56" s="17"/>
      <c r="C56" s="1" t="s">
        <v>49</v>
      </c>
      <c r="D56" s="2">
        <v>763636.4</v>
      </c>
      <c r="E56" s="2">
        <v>603374.32999999903</v>
      </c>
      <c r="F56" s="2">
        <v>798887.18999999901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f t="shared" si="8"/>
        <v>2165897.9199999981</v>
      </c>
      <c r="Q56" s="9"/>
    </row>
    <row r="57" spans="2:17" x14ac:dyDescent="0.3">
      <c r="B57" s="17"/>
      <c r="C57" s="1" t="s">
        <v>50</v>
      </c>
      <c r="D57" s="2">
        <v>15246</v>
      </c>
      <c r="E57" s="2">
        <v>0</v>
      </c>
      <c r="F57" s="2">
        <v>22019.9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f t="shared" si="8"/>
        <v>37265.9</v>
      </c>
      <c r="Q57" s="9"/>
    </row>
    <row r="58" spans="2:17" x14ac:dyDescent="0.3">
      <c r="B58" s="17"/>
      <c r="C58" s="1" t="s">
        <v>51</v>
      </c>
      <c r="D58" s="2">
        <v>0</v>
      </c>
      <c r="E58" s="2">
        <v>67792.800000000003</v>
      </c>
      <c r="F58" s="2">
        <v>55301.8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f t="shared" si="8"/>
        <v>123094.6</v>
      </c>
      <c r="Q58" s="9"/>
    </row>
    <row r="59" spans="2:17" x14ac:dyDescent="0.3">
      <c r="B59" s="17"/>
      <c r="C59" s="1" t="s">
        <v>52</v>
      </c>
      <c r="D59" s="2">
        <v>1422.2</v>
      </c>
      <c r="E59" s="2">
        <v>15971.799999999899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f t="shared" si="8"/>
        <v>17393.999999999898</v>
      </c>
      <c r="Q59" s="9"/>
    </row>
    <row r="60" spans="2:17" x14ac:dyDescent="0.3">
      <c r="B60" s="17"/>
      <c r="C60" s="1" t="s">
        <v>53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f t="shared" si="8"/>
        <v>0</v>
      </c>
      <c r="Q60" s="9"/>
    </row>
    <row r="61" spans="2:17" x14ac:dyDescent="0.3">
      <c r="B61" s="6"/>
      <c r="C61" s="6" t="s">
        <v>147</v>
      </c>
      <c r="D61" s="7">
        <f t="shared" ref="D61:P61" si="9">SUM(D62:D74)</f>
        <v>543449.32999999996</v>
      </c>
      <c r="E61" s="7">
        <f t="shared" si="9"/>
        <v>422539.41999999981</v>
      </c>
      <c r="F61" s="7">
        <f t="shared" si="9"/>
        <v>1154390.619999998</v>
      </c>
      <c r="G61" s="7">
        <f t="shared" si="9"/>
        <v>0</v>
      </c>
      <c r="H61" s="7">
        <f t="shared" si="9"/>
        <v>0</v>
      </c>
      <c r="I61" s="7">
        <f t="shared" si="9"/>
        <v>0</v>
      </c>
      <c r="J61" s="7">
        <f t="shared" si="9"/>
        <v>0</v>
      </c>
      <c r="K61" s="7">
        <f t="shared" si="9"/>
        <v>0</v>
      </c>
      <c r="L61" s="7">
        <f t="shared" si="9"/>
        <v>0</v>
      </c>
      <c r="M61" s="7">
        <f t="shared" si="9"/>
        <v>0</v>
      </c>
      <c r="N61" s="7">
        <f t="shared" si="9"/>
        <v>0</v>
      </c>
      <c r="O61" s="7">
        <f t="shared" si="9"/>
        <v>0</v>
      </c>
      <c r="P61" s="7">
        <f t="shared" si="9"/>
        <v>2120379.3699999978</v>
      </c>
      <c r="Q61" s="8"/>
    </row>
    <row r="62" spans="2:17" x14ac:dyDescent="0.3">
      <c r="B62" s="17" t="s">
        <v>139</v>
      </c>
      <c r="C62" s="1" t="s">
        <v>55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f t="shared" ref="P62:P74" si="10">SUM(D62:O62)</f>
        <v>0</v>
      </c>
      <c r="Q62" s="9"/>
    </row>
    <row r="63" spans="2:17" x14ac:dyDescent="0.3">
      <c r="B63" s="17"/>
      <c r="C63" s="1" t="s">
        <v>56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f t="shared" si="10"/>
        <v>0</v>
      </c>
      <c r="Q63" s="9"/>
    </row>
    <row r="64" spans="2:17" x14ac:dyDescent="0.3">
      <c r="B64" s="17"/>
      <c r="C64" s="1" t="s">
        <v>57</v>
      </c>
      <c r="D64" s="2">
        <v>0</v>
      </c>
      <c r="E64" s="2">
        <v>21425.549999999901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f t="shared" si="10"/>
        <v>21425.549999999901</v>
      </c>
      <c r="Q64" s="9"/>
    </row>
    <row r="65" spans="2:17" x14ac:dyDescent="0.3">
      <c r="B65" s="17"/>
      <c r="C65" s="1" t="s">
        <v>58</v>
      </c>
      <c r="D65" s="2">
        <v>0</v>
      </c>
      <c r="E65" s="2">
        <v>19034.400000000001</v>
      </c>
      <c r="F65" s="2">
        <v>36288.9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f t="shared" si="10"/>
        <v>55323.3</v>
      </c>
      <c r="Q65" s="9"/>
    </row>
    <row r="66" spans="2:17" x14ac:dyDescent="0.3">
      <c r="B66" s="17"/>
      <c r="C66" s="1" t="s">
        <v>59</v>
      </c>
      <c r="D66" s="2">
        <v>160362.6</v>
      </c>
      <c r="E66" s="2">
        <v>238183.2</v>
      </c>
      <c r="F66" s="2">
        <v>191307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f t="shared" si="10"/>
        <v>589852.80000000005</v>
      </c>
      <c r="Q66" s="9"/>
    </row>
    <row r="67" spans="2:17" x14ac:dyDescent="0.3">
      <c r="B67" s="17"/>
      <c r="C67" s="1" t="s">
        <v>60</v>
      </c>
      <c r="D67" s="2">
        <v>13654.2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f t="shared" si="10"/>
        <v>13654.2</v>
      </c>
      <c r="Q67" s="9"/>
    </row>
    <row r="68" spans="2:17" x14ac:dyDescent="0.3">
      <c r="B68" s="17"/>
      <c r="C68" s="1" t="s">
        <v>61</v>
      </c>
      <c r="D68" s="2">
        <v>131026.1</v>
      </c>
      <c r="E68" s="2">
        <v>69976.800000000003</v>
      </c>
      <c r="F68" s="2">
        <v>94546.5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f t="shared" si="10"/>
        <v>295549.40000000002</v>
      </c>
      <c r="Q68" s="9"/>
    </row>
    <row r="69" spans="2:17" x14ac:dyDescent="0.3">
      <c r="B69" s="17"/>
      <c r="C69" s="1" t="s">
        <v>62</v>
      </c>
      <c r="D69" s="2">
        <v>58035.75</v>
      </c>
      <c r="E69" s="2">
        <v>29280</v>
      </c>
      <c r="F69" s="2">
        <v>9320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f t="shared" si="10"/>
        <v>96635.75</v>
      </c>
      <c r="Q69" s="9"/>
    </row>
    <row r="70" spans="2:17" x14ac:dyDescent="0.3">
      <c r="B70" s="17"/>
      <c r="C70" s="1" t="s">
        <v>63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f t="shared" si="10"/>
        <v>0</v>
      </c>
      <c r="Q70" s="9"/>
    </row>
    <row r="71" spans="2:17" x14ac:dyDescent="0.3">
      <c r="B71" s="17"/>
      <c r="C71" s="1" t="s">
        <v>64</v>
      </c>
      <c r="D71" s="2">
        <v>75255.929999999906</v>
      </c>
      <c r="E71" s="2">
        <v>30000</v>
      </c>
      <c r="F71" s="2">
        <v>698293.31999999902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f t="shared" si="10"/>
        <v>803549.24999999895</v>
      </c>
      <c r="Q71" s="9"/>
    </row>
    <row r="72" spans="2:17" x14ac:dyDescent="0.3">
      <c r="B72" s="17"/>
      <c r="C72" s="1" t="s">
        <v>65</v>
      </c>
      <c r="D72" s="2">
        <v>89596.75</v>
      </c>
      <c r="E72" s="2">
        <v>2372.25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f t="shared" si="10"/>
        <v>91969</v>
      </c>
      <c r="Q72" s="9"/>
    </row>
    <row r="73" spans="2:17" x14ac:dyDescent="0.3">
      <c r="B73" s="17"/>
      <c r="C73" s="1" t="s">
        <v>66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f t="shared" si="10"/>
        <v>0</v>
      </c>
      <c r="Q73" s="9"/>
    </row>
    <row r="74" spans="2:17" x14ac:dyDescent="0.3">
      <c r="B74" s="17"/>
      <c r="C74" s="1" t="s">
        <v>67</v>
      </c>
      <c r="D74" s="2">
        <v>15518</v>
      </c>
      <c r="E74" s="2">
        <v>12267.219999999899</v>
      </c>
      <c r="F74" s="2">
        <v>124634.899999999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f t="shared" si="10"/>
        <v>152420.11999999889</v>
      </c>
      <c r="Q74" s="9"/>
    </row>
    <row r="75" spans="2:17" x14ac:dyDescent="0.3">
      <c r="B75" s="6"/>
      <c r="C75" s="6" t="s">
        <v>148</v>
      </c>
      <c r="D75" s="7">
        <f t="shared" ref="D75:P75" si="11">SUM(D76:D87)</f>
        <v>1435091.7899999991</v>
      </c>
      <c r="E75" s="7">
        <f t="shared" si="11"/>
        <v>2995857.5599999903</v>
      </c>
      <c r="F75" s="7">
        <f t="shared" si="11"/>
        <v>1346943.4000000001</v>
      </c>
      <c r="G75" s="7">
        <f t="shared" si="11"/>
        <v>0</v>
      </c>
      <c r="H75" s="7">
        <f t="shared" si="11"/>
        <v>0</v>
      </c>
      <c r="I75" s="7">
        <f t="shared" si="11"/>
        <v>0</v>
      </c>
      <c r="J75" s="7">
        <f t="shared" si="11"/>
        <v>0</v>
      </c>
      <c r="K75" s="7">
        <f t="shared" si="11"/>
        <v>0</v>
      </c>
      <c r="L75" s="7">
        <f t="shared" si="11"/>
        <v>0</v>
      </c>
      <c r="M75" s="7">
        <f t="shared" si="11"/>
        <v>0</v>
      </c>
      <c r="N75" s="7">
        <f t="shared" si="11"/>
        <v>0</v>
      </c>
      <c r="O75" s="7">
        <f t="shared" si="11"/>
        <v>0</v>
      </c>
      <c r="P75" s="7">
        <f t="shared" si="11"/>
        <v>5777892.7499999888</v>
      </c>
    </row>
    <row r="76" spans="2:17" x14ac:dyDescent="0.3">
      <c r="B76" s="17" t="s">
        <v>140</v>
      </c>
      <c r="C76" s="1" t="s">
        <v>69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f t="shared" ref="P76:P87" si="12">SUM(D76:O76)</f>
        <v>0</v>
      </c>
      <c r="Q76" s="9"/>
    </row>
    <row r="77" spans="2:17" x14ac:dyDescent="0.3">
      <c r="B77" s="17"/>
      <c r="C77" s="1" t="s">
        <v>70</v>
      </c>
      <c r="D77" s="2">
        <v>144682</v>
      </c>
      <c r="E77" s="2">
        <v>125254</v>
      </c>
      <c r="F77" s="2">
        <v>144132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f t="shared" si="12"/>
        <v>414068</v>
      </c>
      <c r="Q77" s="9"/>
    </row>
    <row r="78" spans="2:17" x14ac:dyDescent="0.3">
      <c r="B78" s="17"/>
      <c r="C78" s="1" t="s">
        <v>71</v>
      </c>
      <c r="D78" s="2">
        <v>125266.55</v>
      </c>
      <c r="E78" s="2">
        <v>0</v>
      </c>
      <c r="F78" s="2">
        <v>26882.7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f t="shared" si="12"/>
        <v>152149.25</v>
      </c>
      <c r="Q78" s="9"/>
    </row>
    <row r="79" spans="2:17" x14ac:dyDescent="0.3">
      <c r="B79" s="17"/>
      <c r="C79" s="1" t="s">
        <v>72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f t="shared" si="12"/>
        <v>0</v>
      </c>
      <c r="Q79" s="9"/>
    </row>
    <row r="80" spans="2:17" x14ac:dyDescent="0.3">
      <c r="B80" s="17"/>
      <c r="C80" s="1" t="s">
        <v>73</v>
      </c>
      <c r="D80" s="2">
        <v>0</v>
      </c>
      <c r="E80" s="2">
        <v>30558.5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f t="shared" si="12"/>
        <v>30558.5</v>
      </c>
      <c r="Q80" s="9"/>
    </row>
    <row r="81" spans="2:17" x14ac:dyDescent="0.3">
      <c r="B81" s="17"/>
      <c r="C81" s="1" t="s">
        <v>74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f t="shared" si="12"/>
        <v>0</v>
      </c>
      <c r="Q81" s="9"/>
    </row>
    <row r="82" spans="2:17" x14ac:dyDescent="0.3">
      <c r="B82" s="17"/>
      <c r="C82" s="1" t="s">
        <v>75</v>
      </c>
      <c r="D82" s="2">
        <v>200599.2</v>
      </c>
      <c r="E82" s="2">
        <v>188790.66</v>
      </c>
      <c r="F82" s="2">
        <v>203943.09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f t="shared" si="12"/>
        <v>593332.94999999995</v>
      </c>
      <c r="Q82" s="9"/>
    </row>
    <row r="83" spans="2:17" x14ac:dyDescent="0.3">
      <c r="B83" s="17"/>
      <c r="C83" s="1" t="s">
        <v>76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f t="shared" si="12"/>
        <v>0</v>
      </c>
      <c r="Q83" s="9"/>
    </row>
    <row r="84" spans="2:17" x14ac:dyDescent="0.3">
      <c r="B84" s="17"/>
      <c r="C84" s="1" t="s">
        <v>77</v>
      </c>
      <c r="D84" s="2">
        <v>55238.669999999896</v>
      </c>
      <c r="E84" s="2">
        <v>42365.3</v>
      </c>
      <c r="F84" s="2">
        <v>72446.75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f t="shared" si="12"/>
        <v>170050.71999999991</v>
      </c>
      <c r="Q84" s="9"/>
    </row>
    <row r="85" spans="2:17" x14ac:dyDescent="0.3">
      <c r="B85" s="17"/>
      <c r="C85" s="1" t="s">
        <v>78</v>
      </c>
      <c r="D85" s="2">
        <v>54922</v>
      </c>
      <c r="E85" s="2">
        <v>26460.7</v>
      </c>
      <c r="F85" s="2">
        <v>42285.8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f t="shared" si="12"/>
        <v>123668.5</v>
      </c>
      <c r="Q85" s="9"/>
    </row>
    <row r="86" spans="2:17" x14ac:dyDescent="0.3">
      <c r="B86" s="17"/>
      <c r="C86" s="1" t="s">
        <v>79</v>
      </c>
      <c r="D86" s="2">
        <v>37049.760000000002</v>
      </c>
      <c r="E86" s="2">
        <v>34685.769999999902</v>
      </c>
      <c r="F86" s="2">
        <v>9000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f t="shared" si="12"/>
        <v>80735.529999999912</v>
      </c>
      <c r="Q86" s="9"/>
    </row>
    <row r="87" spans="2:17" x14ac:dyDescent="0.3">
      <c r="B87" s="17"/>
      <c r="C87" s="1" t="s">
        <v>80</v>
      </c>
      <c r="D87" s="2">
        <v>817333.60999999905</v>
      </c>
      <c r="E87" s="2">
        <v>2547742.6299999901</v>
      </c>
      <c r="F87" s="2">
        <v>848253.06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f t="shared" si="12"/>
        <v>4213329.2999999896</v>
      </c>
      <c r="Q87" s="9"/>
    </row>
    <row r="88" spans="2:17" x14ac:dyDescent="0.3">
      <c r="B88" s="6"/>
      <c r="C88" s="6" t="s">
        <v>150</v>
      </c>
      <c r="D88" s="7">
        <f t="shared" ref="D88:P88" si="13">SUM(D89:D102)</f>
        <v>900427.36499999953</v>
      </c>
      <c r="E88" s="7">
        <f t="shared" si="13"/>
        <v>1378203.8549999967</v>
      </c>
      <c r="F88" s="7">
        <f t="shared" si="13"/>
        <v>1164175.9099999999</v>
      </c>
      <c r="G88" s="7">
        <f t="shared" si="13"/>
        <v>0</v>
      </c>
      <c r="H88" s="7">
        <f t="shared" si="13"/>
        <v>0</v>
      </c>
      <c r="I88" s="7">
        <f t="shared" si="13"/>
        <v>0</v>
      </c>
      <c r="J88" s="7">
        <f t="shared" si="13"/>
        <v>0</v>
      </c>
      <c r="K88" s="7">
        <f t="shared" si="13"/>
        <v>0</v>
      </c>
      <c r="L88" s="7">
        <f t="shared" si="13"/>
        <v>0</v>
      </c>
      <c r="M88" s="7">
        <f t="shared" si="13"/>
        <v>0</v>
      </c>
      <c r="N88" s="7">
        <f t="shared" si="13"/>
        <v>0</v>
      </c>
      <c r="O88" s="7">
        <f t="shared" si="13"/>
        <v>0</v>
      </c>
      <c r="P88" s="7">
        <f t="shared" si="13"/>
        <v>3442807.1299999962</v>
      </c>
    </row>
    <row r="89" spans="2:17" x14ac:dyDescent="0.3">
      <c r="B89" s="17" t="s">
        <v>141</v>
      </c>
      <c r="C89" s="1" t="s">
        <v>82</v>
      </c>
      <c r="D89" s="2">
        <v>144684.1</v>
      </c>
      <c r="E89" s="2">
        <v>141270.25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f t="shared" ref="P89:P102" si="14">SUM(D89:O89)</f>
        <v>285954.34999999998</v>
      </c>
      <c r="Q89" s="9"/>
    </row>
    <row r="90" spans="2:17" x14ac:dyDescent="0.3">
      <c r="B90" s="17"/>
      <c r="C90" s="1" t="s">
        <v>83</v>
      </c>
      <c r="D90" s="2">
        <v>52204.65</v>
      </c>
      <c r="E90" s="2">
        <v>144843.20000000001</v>
      </c>
      <c r="F90" s="2">
        <v>51319.9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f t="shared" si="14"/>
        <v>248367.75</v>
      </c>
      <c r="Q90" s="9"/>
    </row>
    <row r="91" spans="2:17" x14ac:dyDescent="0.3">
      <c r="B91" s="17"/>
      <c r="C91" s="1" t="s">
        <v>84</v>
      </c>
      <c r="D91" s="2">
        <v>0</v>
      </c>
      <c r="E91" s="2">
        <v>40040.94</v>
      </c>
      <c r="F91" s="2">
        <v>38145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f t="shared" si="14"/>
        <v>78185.94</v>
      </c>
      <c r="Q91" s="9"/>
    </row>
    <row r="92" spans="2:17" x14ac:dyDescent="0.3">
      <c r="B92" s="17"/>
      <c r="C92" s="1" t="s">
        <v>85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f t="shared" si="14"/>
        <v>0</v>
      </c>
      <c r="Q92" s="9"/>
    </row>
    <row r="93" spans="2:17" x14ac:dyDescent="0.3">
      <c r="B93" s="17"/>
      <c r="C93" s="1" t="s">
        <v>86</v>
      </c>
      <c r="D93" s="2">
        <v>54961.199999999903</v>
      </c>
      <c r="E93" s="2">
        <v>36634.199999999903</v>
      </c>
      <c r="F93" s="2">
        <v>140037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f t="shared" si="14"/>
        <v>231632.39999999979</v>
      </c>
      <c r="Q93" s="9"/>
    </row>
    <row r="94" spans="2:17" x14ac:dyDescent="0.3">
      <c r="B94" s="17"/>
      <c r="C94" s="1" t="s">
        <v>87</v>
      </c>
      <c r="D94" s="2">
        <v>9416</v>
      </c>
      <c r="E94" s="2">
        <v>44283.4</v>
      </c>
      <c r="F94" s="2">
        <v>72568.960000000006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f t="shared" si="14"/>
        <v>126268.36000000002</v>
      </c>
      <c r="Q94" s="9"/>
    </row>
    <row r="95" spans="2:17" x14ac:dyDescent="0.3">
      <c r="B95" s="17"/>
      <c r="C95" s="1" t="s">
        <v>88</v>
      </c>
      <c r="D95" s="2">
        <v>0</v>
      </c>
      <c r="E95" s="2">
        <v>2143.6999999999898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f t="shared" si="14"/>
        <v>2143.6999999999898</v>
      </c>
      <c r="Q95" s="9"/>
    </row>
    <row r="96" spans="2:17" x14ac:dyDescent="0.3">
      <c r="B96" s="17"/>
      <c r="C96" s="1" t="s">
        <v>89</v>
      </c>
      <c r="D96" s="2">
        <v>67458.949999999895</v>
      </c>
      <c r="E96" s="2">
        <v>74637.949999999895</v>
      </c>
      <c r="F96" s="2">
        <v>41529.800000000003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f t="shared" si="14"/>
        <v>183626.69999999978</v>
      </c>
      <c r="Q96" s="9"/>
    </row>
    <row r="97" spans="2:17" x14ac:dyDescent="0.3">
      <c r="B97" s="17"/>
      <c r="C97" s="1" t="s">
        <v>90</v>
      </c>
      <c r="D97" s="2">
        <v>0</v>
      </c>
      <c r="E97" s="2">
        <v>16394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f t="shared" si="14"/>
        <v>16394</v>
      </c>
      <c r="Q97" s="9"/>
    </row>
    <row r="98" spans="2:17" x14ac:dyDescent="0.3">
      <c r="B98" s="17"/>
      <c r="C98" s="1" t="s">
        <v>91</v>
      </c>
      <c r="D98" s="2">
        <v>206444.76</v>
      </c>
      <c r="E98" s="2">
        <v>138445.25</v>
      </c>
      <c r="F98" s="2">
        <v>165603.85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f t="shared" si="14"/>
        <v>510493.86</v>
      </c>
      <c r="Q98" s="9"/>
    </row>
    <row r="99" spans="2:17" x14ac:dyDescent="0.3">
      <c r="B99" s="17"/>
      <c r="C99" s="1" t="s">
        <v>92</v>
      </c>
      <c r="D99" s="2">
        <v>37238.400000000001</v>
      </c>
      <c r="E99" s="2">
        <v>22433.7</v>
      </c>
      <c r="F99" s="2">
        <v>29519.4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f t="shared" si="14"/>
        <v>89191.5</v>
      </c>
      <c r="Q99" s="9"/>
    </row>
    <row r="100" spans="2:17" x14ac:dyDescent="0.3">
      <c r="B100" s="17"/>
      <c r="C100" s="1" t="s">
        <v>93</v>
      </c>
      <c r="D100" s="2">
        <v>67194.699999999895</v>
      </c>
      <c r="E100" s="2">
        <v>66920.399999999907</v>
      </c>
      <c r="F100" s="2">
        <v>115454.7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f t="shared" si="14"/>
        <v>249569.79999999981</v>
      </c>
      <c r="Q100" s="9"/>
    </row>
    <row r="101" spans="2:17" x14ac:dyDescent="0.3">
      <c r="B101" s="17"/>
      <c r="C101" s="1" t="s">
        <v>94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f t="shared" si="14"/>
        <v>0</v>
      </c>
      <c r="Q101" s="9"/>
    </row>
    <row r="102" spans="2:17" x14ac:dyDescent="0.3">
      <c r="B102" s="17"/>
      <c r="C102" s="1" t="s">
        <v>158</v>
      </c>
      <c r="D102" s="2">
        <v>260824.60499999969</v>
      </c>
      <c r="E102" s="2">
        <v>650156.86499999696</v>
      </c>
      <c r="F102" s="2">
        <v>509997.3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f t="shared" si="14"/>
        <v>1420978.7699999968</v>
      </c>
      <c r="Q102" s="9"/>
    </row>
    <row r="103" spans="2:17" x14ac:dyDescent="0.3">
      <c r="B103" s="6"/>
      <c r="C103" s="6" t="s">
        <v>151</v>
      </c>
      <c r="D103" s="7">
        <f t="shared" ref="D103:P103" si="15">SUM(D104:D111)</f>
        <v>1410713.5399999989</v>
      </c>
      <c r="E103" s="7">
        <f t="shared" si="15"/>
        <v>573230.44999999902</v>
      </c>
      <c r="F103" s="7">
        <f t="shared" si="15"/>
        <v>787623.4399999989</v>
      </c>
      <c r="G103" s="7">
        <f t="shared" si="15"/>
        <v>0</v>
      </c>
      <c r="H103" s="7">
        <f t="shared" si="15"/>
        <v>0</v>
      </c>
      <c r="I103" s="7">
        <f t="shared" si="15"/>
        <v>0</v>
      </c>
      <c r="J103" s="7">
        <f t="shared" si="15"/>
        <v>0</v>
      </c>
      <c r="K103" s="7">
        <f t="shared" si="15"/>
        <v>0</v>
      </c>
      <c r="L103" s="7">
        <f t="shared" si="15"/>
        <v>0</v>
      </c>
      <c r="M103" s="7">
        <f t="shared" si="15"/>
        <v>0</v>
      </c>
      <c r="N103" s="7">
        <f t="shared" si="15"/>
        <v>0</v>
      </c>
      <c r="O103" s="7">
        <f t="shared" si="15"/>
        <v>0</v>
      </c>
      <c r="P103" s="7">
        <f t="shared" si="15"/>
        <v>2771567.4299999969</v>
      </c>
    </row>
    <row r="104" spans="2:17" x14ac:dyDescent="0.3">
      <c r="B104" s="17" t="s">
        <v>142</v>
      </c>
      <c r="C104" s="1" t="s">
        <v>96</v>
      </c>
      <c r="D104" s="2">
        <v>285369.19</v>
      </c>
      <c r="E104" s="2">
        <v>289277.90000000002</v>
      </c>
      <c r="F104" s="2">
        <v>304376.299999999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f t="shared" ref="P104:P111" si="16">SUM(D104:O104)</f>
        <v>879023.38999999908</v>
      </c>
      <c r="Q104" s="9"/>
    </row>
    <row r="105" spans="2:17" x14ac:dyDescent="0.3">
      <c r="B105" s="17"/>
      <c r="C105" s="1" t="s">
        <v>97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f t="shared" si="16"/>
        <v>0</v>
      </c>
      <c r="Q105" s="9"/>
    </row>
    <row r="106" spans="2:17" x14ac:dyDescent="0.3">
      <c r="B106" s="17"/>
      <c r="C106" s="1" t="s">
        <v>98</v>
      </c>
      <c r="D106" s="2">
        <v>0</v>
      </c>
      <c r="E106" s="2">
        <v>0</v>
      </c>
      <c r="F106" s="2">
        <v>22288.5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f t="shared" si="16"/>
        <v>22288.5</v>
      </c>
      <c r="Q106" s="9"/>
    </row>
    <row r="107" spans="2:17" x14ac:dyDescent="0.3">
      <c r="B107" s="17"/>
      <c r="C107" s="1" t="s">
        <v>99</v>
      </c>
      <c r="D107" s="2">
        <v>895944.44999999902</v>
      </c>
      <c r="E107" s="2">
        <v>144654.049999999</v>
      </c>
      <c r="F107" s="2">
        <f>178143.79+28830</f>
        <v>206973.79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f t="shared" si="16"/>
        <v>1247572.2899999979</v>
      </c>
      <c r="Q107" s="9"/>
    </row>
    <row r="108" spans="2:17" x14ac:dyDescent="0.3">
      <c r="B108" s="17"/>
      <c r="C108" s="1" t="s">
        <v>100</v>
      </c>
      <c r="D108" s="2">
        <v>25376</v>
      </c>
      <c r="E108" s="2">
        <v>0</v>
      </c>
      <c r="F108" s="2">
        <v>25376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f t="shared" si="16"/>
        <v>50752</v>
      </c>
      <c r="Q108" s="9"/>
    </row>
    <row r="109" spans="2:17" x14ac:dyDescent="0.3">
      <c r="B109" s="17"/>
      <c r="C109" s="1" t="s">
        <v>101</v>
      </c>
      <c r="D109" s="2">
        <v>120033.5</v>
      </c>
      <c r="E109" s="2">
        <v>108224.6</v>
      </c>
      <c r="F109" s="2">
        <v>147570.85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f t="shared" si="16"/>
        <v>375828.95</v>
      </c>
      <c r="Q109" s="9"/>
    </row>
    <row r="110" spans="2:17" x14ac:dyDescent="0.3">
      <c r="B110" s="17"/>
      <c r="C110" s="1" t="s">
        <v>102</v>
      </c>
      <c r="D110" s="2">
        <v>83990.399999999907</v>
      </c>
      <c r="E110" s="2">
        <v>0</v>
      </c>
      <c r="F110" s="2">
        <v>52635.599999999897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f t="shared" si="16"/>
        <v>136625.9999999998</v>
      </c>
      <c r="Q110" s="9"/>
    </row>
    <row r="111" spans="2:17" x14ac:dyDescent="0.3">
      <c r="B111" s="17"/>
      <c r="C111" s="1" t="s">
        <v>103</v>
      </c>
      <c r="D111" s="2">
        <v>0</v>
      </c>
      <c r="E111" s="2">
        <v>31073.9</v>
      </c>
      <c r="F111" s="2">
        <v>28402.400000000001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f t="shared" si="16"/>
        <v>59476.3</v>
      </c>
      <c r="Q111" s="9"/>
    </row>
    <row r="112" spans="2:17" x14ac:dyDescent="0.3">
      <c r="B112" s="6"/>
      <c r="C112" s="6" t="s">
        <v>152</v>
      </c>
      <c r="D112" s="7">
        <f>SUM(D113:D117)</f>
        <v>4597232.8399999887</v>
      </c>
      <c r="E112" s="7">
        <f t="shared" ref="E112:O112" si="17">SUM(E113:E117)</f>
        <v>7052380.5699999891</v>
      </c>
      <c r="F112" s="7">
        <f t="shared" si="17"/>
        <v>9694918.5299999788</v>
      </c>
      <c r="G112" s="7">
        <f t="shared" si="17"/>
        <v>0</v>
      </c>
      <c r="H112" s="7">
        <f t="shared" si="17"/>
        <v>0</v>
      </c>
      <c r="I112" s="7">
        <f t="shared" si="17"/>
        <v>0</v>
      </c>
      <c r="J112" s="7">
        <f t="shared" si="17"/>
        <v>0</v>
      </c>
      <c r="K112" s="7">
        <f t="shared" si="17"/>
        <v>0</v>
      </c>
      <c r="L112" s="7">
        <f t="shared" si="17"/>
        <v>0</v>
      </c>
      <c r="M112" s="7">
        <f t="shared" si="17"/>
        <v>0</v>
      </c>
      <c r="N112" s="7">
        <f t="shared" si="17"/>
        <v>0</v>
      </c>
      <c r="O112" s="7">
        <f t="shared" si="17"/>
        <v>0</v>
      </c>
      <c r="P112" s="7">
        <f>SUM(P113:P117)</f>
        <v>21344531.93999996</v>
      </c>
    </row>
    <row r="113" spans="2:17" x14ac:dyDescent="0.3">
      <c r="B113" s="17" t="s">
        <v>143</v>
      </c>
      <c r="C113" s="1" t="s">
        <v>105</v>
      </c>
      <c r="D113" s="2">
        <v>2468022.0699999901</v>
      </c>
      <c r="E113" s="2">
        <v>4329740.04</v>
      </c>
      <c r="F113" s="2">
        <v>5052652.9299999904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f t="shared" ref="P113:P117" si="18">SUM(D113:O113)</f>
        <v>11850415.03999998</v>
      </c>
      <c r="Q113" s="9"/>
    </row>
    <row r="114" spans="2:17" x14ac:dyDescent="0.3">
      <c r="B114" s="17"/>
      <c r="C114" s="1" t="s">
        <v>106</v>
      </c>
      <c r="D114" s="2">
        <v>1041608.65</v>
      </c>
      <c r="E114" s="2">
        <v>1585320.4199999899</v>
      </c>
      <c r="F114" s="2">
        <v>1945317.12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f t="shared" si="18"/>
        <v>4572246.1899999902</v>
      </c>
      <c r="Q114" s="9"/>
    </row>
    <row r="115" spans="2:17" x14ac:dyDescent="0.3">
      <c r="B115" s="17"/>
      <c r="C115" s="1" t="s">
        <v>107</v>
      </c>
      <c r="D115" s="2">
        <v>386640.02</v>
      </c>
      <c r="E115" s="2">
        <v>295606.989999999</v>
      </c>
      <c r="F115" s="2">
        <v>617435.63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f t="shared" si="18"/>
        <v>1299682.6399999992</v>
      </c>
      <c r="Q115" s="9"/>
    </row>
    <row r="116" spans="2:17" x14ac:dyDescent="0.3">
      <c r="B116" s="17"/>
      <c r="C116" s="1" t="s">
        <v>108</v>
      </c>
      <c r="D116" s="2">
        <v>700962.09999999905</v>
      </c>
      <c r="E116" s="2">
        <v>841713.12000000011</v>
      </c>
      <c r="F116" s="2">
        <v>2060846.8999999901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f t="shared" si="18"/>
        <v>3603522.1199999894</v>
      </c>
      <c r="Q116" s="9"/>
    </row>
    <row r="117" spans="2:17" x14ac:dyDescent="0.3">
      <c r="B117" s="17"/>
      <c r="C117" s="1" t="s">
        <v>110</v>
      </c>
      <c r="D117" s="2">
        <v>0</v>
      </c>
      <c r="E117" s="2">
        <v>0</v>
      </c>
      <c r="F117" s="2">
        <v>18665.95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f t="shared" si="18"/>
        <v>18665.95</v>
      </c>
      <c r="Q117" s="9"/>
    </row>
    <row r="118" spans="2:17" x14ac:dyDescent="0.3">
      <c r="B118" s="6"/>
      <c r="C118" s="6" t="s">
        <v>133</v>
      </c>
      <c r="D118" s="7">
        <f t="shared" ref="D118:E118" si="19">SUM(D119:D129)</f>
        <v>41411</v>
      </c>
      <c r="E118" s="7">
        <f t="shared" si="19"/>
        <v>62919</v>
      </c>
      <c r="F118" s="7">
        <f>SUM(F119:F129)</f>
        <v>529358.47</v>
      </c>
      <c r="G118" s="7">
        <f t="shared" ref="G118:O118" si="20">SUM(G119:G129)</f>
        <v>0</v>
      </c>
      <c r="H118" s="7">
        <f t="shared" si="20"/>
        <v>0</v>
      </c>
      <c r="I118" s="7">
        <f t="shared" si="20"/>
        <v>0</v>
      </c>
      <c r="J118" s="7">
        <f t="shared" si="20"/>
        <v>0</v>
      </c>
      <c r="K118" s="7">
        <f t="shared" si="20"/>
        <v>0</v>
      </c>
      <c r="L118" s="7">
        <f t="shared" si="20"/>
        <v>0</v>
      </c>
      <c r="M118" s="7">
        <f t="shared" si="20"/>
        <v>0</v>
      </c>
      <c r="N118" s="7">
        <f t="shared" si="20"/>
        <v>0</v>
      </c>
      <c r="O118" s="7">
        <f t="shared" si="20"/>
        <v>0</v>
      </c>
      <c r="P118" s="7">
        <f>SUM(P119:P129)</f>
        <v>633688.47</v>
      </c>
    </row>
    <row r="119" spans="2:17" ht="14.4" customHeight="1" x14ac:dyDescent="0.3">
      <c r="B119" s="17" t="s">
        <v>144</v>
      </c>
      <c r="C119" s="1" t="s">
        <v>109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f t="shared" ref="P119:P129" si="21">SUM(D119:O119)</f>
        <v>0</v>
      </c>
      <c r="Q119" s="9"/>
    </row>
    <row r="120" spans="2:17" x14ac:dyDescent="0.3">
      <c r="B120" s="17"/>
      <c r="C120" s="1" t="s">
        <v>111</v>
      </c>
      <c r="D120" s="2">
        <v>41411</v>
      </c>
      <c r="E120" s="2">
        <v>62919</v>
      </c>
      <c r="F120" s="2">
        <v>46080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f t="shared" si="21"/>
        <v>150410</v>
      </c>
      <c r="Q120" s="9"/>
    </row>
    <row r="121" spans="2:17" x14ac:dyDescent="0.3">
      <c r="B121" s="17"/>
      <c r="C121" s="1" t="s">
        <v>11</v>
      </c>
      <c r="D121" s="2">
        <v>0</v>
      </c>
      <c r="E121" s="2">
        <v>0</v>
      </c>
      <c r="F121" s="2">
        <v>42777.15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f t="shared" si="21"/>
        <v>42777.15</v>
      </c>
      <c r="Q121" s="9"/>
    </row>
    <row r="122" spans="2:17" x14ac:dyDescent="0.3">
      <c r="B122" s="17"/>
      <c r="C122" s="1" t="s">
        <v>134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f t="shared" si="21"/>
        <v>0</v>
      </c>
      <c r="Q122" s="9"/>
    </row>
    <row r="123" spans="2:17" x14ac:dyDescent="0.3">
      <c r="B123" s="17"/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f t="shared" si="21"/>
        <v>0</v>
      </c>
      <c r="Q123" s="9"/>
    </row>
    <row r="124" spans="2:17" x14ac:dyDescent="0.3">
      <c r="B124" s="17"/>
      <c r="C124" s="1" t="s">
        <v>155</v>
      </c>
      <c r="D124" s="2">
        <v>0</v>
      </c>
      <c r="E124" s="2">
        <v>0</v>
      </c>
      <c r="F124" s="2">
        <v>450501.32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f t="shared" si="21"/>
        <v>450501.32</v>
      </c>
      <c r="Q124" s="9"/>
    </row>
    <row r="125" spans="2:17" x14ac:dyDescent="0.3">
      <c r="B125" s="17"/>
      <c r="C125" s="1" t="s">
        <v>154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f t="shared" si="21"/>
        <v>0</v>
      </c>
      <c r="Q125" s="9"/>
    </row>
    <row r="126" spans="2:17" x14ac:dyDescent="0.3">
      <c r="B126" s="17"/>
      <c r="C126" s="1" t="s">
        <v>153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f t="shared" si="21"/>
        <v>0</v>
      </c>
      <c r="Q126" s="9"/>
    </row>
    <row r="127" spans="2:17" x14ac:dyDescent="0.3">
      <c r="B127" s="17"/>
      <c r="C127" s="1" t="s">
        <v>114</v>
      </c>
      <c r="D127" s="2">
        <v>0</v>
      </c>
      <c r="E127" s="2">
        <v>0</v>
      </c>
      <c r="F127" s="2">
        <v>-10000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f t="shared" si="21"/>
        <v>-10000</v>
      </c>
      <c r="Q127" s="9"/>
    </row>
    <row r="128" spans="2:17" x14ac:dyDescent="0.3">
      <c r="B128" s="17"/>
      <c r="C128" s="1" t="s">
        <v>115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f t="shared" si="21"/>
        <v>0</v>
      </c>
      <c r="Q128" s="9"/>
    </row>
    <row r="129" spans="2:17" x14ac:dyDescent="0.3">
      <c r="B129" s="17"/>
      <c r="C129" s="1" t="s">
        <v>136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f t="shared" si="21"/>
        <v>0</v>
      </c>
      <c r="Q129" s="9"/>
    </row>
    <row r="130" spans="2:17" x14ac:dyDescent="0.3">
      <c r="B130" s="6"/>
      <c r="C130" s="6" t="s">
        <v>116</v>
      </c>
      <c r="D130" s="7">
        <f t="shared" ref="D130:P130" si="22">SUM(D131:D132)</f>
        <v>19283.3499999999</v>
      </c>
      <c r="E130" s="7">
        <f>SUM(E131:E132)</f>
        <v>0</v>
      </c>
      <c r="F130" s="7">
        <f t="shared" si="22"/>
        <v>0</v>
      </c>
      <c r="G130" s="7">
        <f t="shared" si="22"/>
        <v>0</v>
      </c>
      <c r="H130" s="7">
        <f t="shared" si="22"/>
        <v>0</v>
      </c>
      <c r="I130" s="7">
        <f t="shared" si="22"/>
        <v>0</v>
      </c>
      <c r="J130" s="7">
        <f t="shared" si="22"/>
        <v>0</v>
      </c>
      <c r="K130" s="7">
        <f t="shared" si="22"/>
        <v>0</v>
      </c>
      <c r="L130" s="7">
        <f t="shared" si="22"/>
        <v>0</v>
      </c>
      <c r="M130" s="7">
        <f t="shared" si="22"/>
        <v>0</v>
      </c>
      <c r="N130" s="7">
        <f t="shared" si="22"/>
        <v>0</v>
      </c>
      <c r="O130" s="7">
        <f t="shared" si="22"/>
        <v>0</v>
      </c>
      <c r="P130" s="7">
        <f t="shared" si="22"/>
        <v>19283.3499999999</v>
      </c>
    </row>
    <row r="131" spans="2:17" x14ac:dyDescent="0.3">
      <c r="B131" s="17" t="s">
        <v>122</v>
      </c>
      <c r="C131" s="1" t="s">
        <v>117</v>
      </c>
      <c r="D131" s="2">
        <v>19283.3499999999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f>SUM(D131:O131)</f>
        <v>19283.3499999999</v>
      </c>
      <c r="Q131" s="9"/>
    </row>
    <row r="132" spans="2:17" x14ac:dyDescent="0.3">
      <c r="B132" s="17"/>
      <c r="C132" s="1" t="s">
        <v>118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f>SUM(D132:O132)</f>
        <v>0</v>
      </c>
      <c r="Q132" s="9"/>
    </row>
    <row r="133" spans="2:17" x14ac:dyDescent="0.3">
      <c r="C133" s="6" t="s">
        <v>1</v>
      </c>
      <c r="D133" s="7">
        <f>+D5+D17+D40+D53+D61+D75+D88+D103+D112+D118+D130</f>
        <v>12188346.629999986</v>
      </c>
      <c r="E133" s="7">
        <f>+E5+E17+E40+E53+E61+E75+E88+E103+E112+E118+E130</f>
        <v>17548834.27999996</v>
      </c>
      <c r="F133" s="7">
        <f t="shared" ref="F133:O133" si="23">+F5+F17+F40+F53+F61+F75+F88+F103+F112+F118+F130</f>
        <v>21562135.92999997</v>
      </c>
      <c r="G133" s="7">
        <f t="shared" si="23"/>
        <v>0</v>
      </c>
      <c r="H133" s="7">
        <f t="shared" si="23"/>
        <v>0</v>
      </c>
      <c r="I133" s="7">
        <f t="shared" si="23"/>
        <v>0</v>
      </c>
      <c r="J133" s="7">
        <f t="shared" si="23"/>
        <v>0</v>
      </c>
      <c r="K133" s="7">
        <f t="shared" si="23"/>
        <v>0</v>
      </c>
      <c r="L133" s="7">
        <f t="shared" si="23"/>
        <v>0</v>
      </c>
      <c r="M133" s="7">
        <f t="shared" si="23"/>
        <v>0</v>
      </c>
      <c r="N133" s="7">
        <f t="shared" si="23"/>
        <v>0</v>
      </c>
      <c r="O133" s="7">
        <f t="shared" si="23"/>
        <v>0</v>
      </c>
      <c r="P133" s="7">
        <f>+P5+P17+P40+P53+P61+P75+P88+P103+P112+P118+P130</f>
        <v>51299316.839999922</v>
      </c>
    </row>
    <row r="134" spans="2:17" x14ac:dyDescent="0.3">
      <c r="D134" s="11"/>
      <c r="P134" s="8">
        <v>51299316.839999922</v>
      </c>
    </row>
    <row r="135" spans="2:17" x14ac:dyDescent="0.3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</sheetData>
  <mergeCells count="13">
    <mergeCell ref="B2:P2"/>
    <mergeCell ref="B131:B132"/>
    <mergeCell ref="B119:B129"/>
    <mergeCell ref="B4:B5"/>
    <mergeCell ref="B6:B16"/>
    <mergeCell ref="B18:B39"/>
    <mergeCell ref="B41:B51"/>
    <mergeCell ref="B54:B60"/>
    <mergeCell ref="B62:B74"/>
    <mergeCell ref="B76:B87"/>
    <mergeCell ref="B89:B102"/>
    <mergeCell ref="B104:B111"/>
    <mergeCell ref="B113:B117"/>
  </mergeCells>
  <pageMargins left="0.7" right="0.7" top="0.75" bottom="0.75" header="0.3" footer="0.3"/>
  <ignoredErrors>
    <ignoredError sqref="P61 P53 P75 P88 P103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6EF5-F087-43B5-8D9D-1A9A37565C81}">
  <dimension ref="B3:Q5"/>
  <sheetViews>
    <sheetView workbookViewId="0">
      <selection activeCell="B3" sqref="B3:Q5"/>
    </sheetView>
  </sheetViews>
  <sheetFormatPr baseColWidth="10" defaultRowHeight="14.4" x14ac:dyDescent="0.3"/>
  <cols>
    <col min="2" max="2" width="33.109375" bestFit="1" customWidth="1"/>
    <col min="3" max="16" width="12.44140625" bestFit="1" customWidth="1"/>
    <col min="17" max="17" width="14" bestFit="1" customWidth="1"/>
  </cols>
  <sheetData>
    <row r="3" spans="2:17" x14ac:dyDescent="0.3">
      <c r="B3" s="12" t="s">
        <v>159</v>
      </c>
      <c r="C3" s="12">
        <v>45658</v>
      </c>
      <c r="D3" s="12">
        <v>45689</v>
      </c>
      <c r="E3" s="12">
        <v>45717</v>
      </c>
      <c r="F3" s="12">
        <v>45748</v>
      </c>
      <c r="G3" s="12">
        <v>45778</v>
      </c>
      <c r="H3" s="12">
        <v>45809</v>
      </c>
      <c r="I3" s="12">
        <v>45839</v>
      </c>
      <c r="J3" s="12">
        <v>45870</v>
      </c>
      <c r="K3" s="12">
        <v>45901</v>
      </c>
      <c r="L3" s="12">
        <v>45931</v>
      </c>
      <c r="M3" s="12">
        <v>45962</v>
      </c>
      <c r="N3" s="12">
        <v>45992</v>
      </c>
      <c r="O3" s="12">
        <v>46023</v>
      </c>
      <c r="P3" s="12">
        <v>46054</v>
      </c>
      <c r="Q3" s="13" t="s">
        <v>1</v>
      </c>
    </row>
    <row r="4" spans="2:17" x14ac:dyDescent="0.3">
      <c r="B4" s="14" t="s">
        <v>59</v>
      </c>
      <c r="C4" s="15">
        <v>292111.09999999899</v>
      </c>
      <c r="D4" s="15">
        <v>505491.299999999</v>
      </c>
      <c r="E4" s="15">
        <v>99906.919999999896</v>
      </c>
      <c r="F4" s="15">
        <v>92550.1</v>
      </c>
      <c r="G4" s="15">
        <v>313792.109999999</v>
      </c>
      <c r="H4" s="15">
        <v>73804.11</v>
      </c>
      <c r="I4" s="15">
        <v>414233.2</v>
      </c>
      <c r="J4" s="15">
        <v>271449.12</v>
      </c>
      <c r="K4" s="15">
        <v>447559.7</v>
      </c>
      <c r="L4" s="15">
        <v>140457.579999999</v>
      </c>
      <c r="M4" s="15">
        <v>195300.31</v>
      </c>
      <c r="N4" s="15">
        <v>105681.60000000001</v>
      </c>
      <c r="O4" s="15">
        <v>160362.6</v>
      </c>
      <c r="P4" s="15">
        <v>238183.2</v>
      </c>
      <c r="Q4" s="15">
        <f>SUM(C4:P4)</f>
        <v>3350882.9499999969</v>
      </c>
    </row>
    <row r="5" spans="2:17" x14ac:dyDescent="0.3">
      <c r="B5" s="14" t="s">
        <v>64</v>
      </c>
      <c r="C5" s="15">
        <v>294946.59999999899</v>
      </c>
      <c r="D5" s="15">
        <v>783876.85999999905</v>
      </c>
      <c r="E5" s="15">
        <v>586082.18000000005</v>
      </c>
      <c r="F5" s="15">
        <v>315850.32</v>
      </c>
      <c r="G5" s="15">
        <v>606732.93000000005</v>
      </c>
      <c r="H5" s="15">
        <v>620194.17000000004</v>
      </c>
      <c r="I5" s="15">
        <v>541001.59999999905</v>
      </c>
      <c r="J5" s="15">
        <v>338516.89</v>
      </c>
      <c r="K5" s="15">
        <v>471000.97999999899</v>
      </c>
      <c r="L5" s="15">
        <v>429921.5</v>
      </c>
      <c r="M5" s="15">
        <v>806707.08999999904</v>
      </c>
      <c r="N5" s="15">
        <v>559905.41</v>
      </c>
      <c r="O5" s="15">
        <v>75255.929999999906</v>
      </c>
      <c r="P5" s="15">
        <v>30000</v>
      </c>
      <c r="Q5" s="15">
        <f>SUM(C5:P5)</f>
        <v>6459992.4599999953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 2025</vt:lpstr>
      <vt:lpstr>Ventas 2026</vt:lpstr>
      <vt:lpstr>Facturación LM-DIKYSA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Carolina Gonzalez Ochoa</dc:creator>
  <cp:lastModifiedBy>Patricia Carolina Gonzalez Ochoa</cp:lastModifiedBy>
  <dcterms:created xsi:type="dcterms:W3CDTF">2026-02-25T19:16:36Z</dcterms:created>
  <dcterms:modified xsi:type="dcterms:W3CDTF">2026-04-30T15:08:52Z</dcterms:modified>
</cp:coreProperties>
</file>